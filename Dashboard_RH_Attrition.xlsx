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AN\Desktop\"/>
    </mc:Choice>
  </mc:AlternateContent>
  <xr:revisionPtr revIDLastSave="0" documentId="13_ncr:1_{8357556F-AF2F-4132-8631-B06E6817DFA6}" xr6:coauthVersionLast="47" xr6:coauthVersionMax="47" xr10:uidLastSave="{00000000-0000-0000-0000-000000000000}"/>
  <bookViews>
    <workbookView xWindow="-120" yWindow="-120" windowWidth="20730" windowHeight="11040" activeTab="1" xr2:uid="{63E4DB82-CAE8-494A-8311-812FF4A7EF18}"/>
  </bookViews>
  <sheets>
    <sheet name="Data" sheetId="1" r:id="rId1"/>
    <sheet name="DASHBOARD" sheetId="2" r:id="rId2"/>
    <sheet name="Scénario" sheetId="6" r:id="rId3"/>
  </sheets>
  <definedNames>
    <definedName name="Segment_Categorie_Produit">#N/A</definedName>
    <definedName name="Segment_Produit">#N/A</definedName>
    <definedName name="Segment_Region">#N/A</definedName>
  </definedNames>
  <calcPr calcId="18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1" l="1"/>
  <c r="M16" i="1"/>
  <c r="M27" i="1"/>
  <c r="M32" i="1"/>
  <c r="M43" i="1"/>
  <c r="M48" i="1"/>
  <c r="M59" i="1"/>
  <c r="M64" i="1"/>
  <c r="M75" i="1"/>
  <c r="M80" i="1"/>
  <c r="M91" i="1"/>
  <c r="M96" i="1"/>
  <c r="L2" i="1"/>
  <c r="M2" i="1" s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L12" i="1"/>
  <c r="M12" i="1" s="1"/>
  <c r="L13" i="1"/>
  <c r="M13" i="1" s="1"/>
  <c r="L14" i="1"/>
  <c r="M14" i="1" s="1"/>
  <c r="L15" i="1"/>
  <c r="M15" i="1" s="1"/>
  <c r="L16" i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L28" i="1"/>
  <c r="M28" i="1" s="1"/>
  <c r="L29" i="1"/>
  <c r="M29" i="1" s="1"/>
  <c r="L30" i="1"/>
  <c r="M30" i="1" s="1"/>
  <c r="L31" i="1"/>
  <c r="M31" i="1" s="1"/>
  <c r="L32" i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L44" i="1"/>
  <c r="M44" i="1" s="1"/>
  <c r="L45" i="1"/>
  <c r="M45" i="1" s="1"/>
  <c r="L46" i="1"/>
  <c r="M46" i="1" s="1"/>
  <c r="L47" i="1"/>
  <c r="M47" i="1" s="1"/>
  <c r="L48" i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L60" i="1"/>
  <c r="M60" i="1" s="1"/>
  <c r="L61" i="1"/>
  <c r="M61" i="1" s="1"/>
  <c r="L62" i="1"/>
  <c r="M62" i="1" s="1"/>
  <c r="L63" i="1"/>
  <c r="M63" i="1" s="1"/>
  <c r="L64" i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L76" i="1"/>
  <c r="M76" i="1" s="1"/>
  <c r="L77" i="1"/>
  <c r="M77" i="1" s="1"/>
  <c r="L78" i="1"/>
  <c r="M78" i="1" s="1"/>
  <c r="L79" i="1"/>
  <c r="M79" i="1" s="1"/>
  <c r="L80" i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L92" i="1"/>
  <c r="M92" i="1" s="1"/>
  <c r="L93" i="1"/>
  <c r="M93" i="1" s="1"/>
  <c r="L94" i="1"/>
  <c r="M94" i="1" s="1"/>
  <c r="L95" i="1"/>
  <c r="M95" i="1" s="1"/>
  <c r="L96" i="1"/>
  <c r="L97" i="1"/>
  <c r="M97" i="1" s="1"/>
  <c r="L98" i="1"/>
  <c r="M98" i="1" s="1"/>
  <c r="L99" i="1"/>
  <c r="M99" i="1" s="1"/>
  <c r="L100" i="1"/>
  <c r="M100" i="1" s="1"/>
  <c r="L101" i="1"/>
  <c r="M101" i="1" s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</calcChain>
</file>

<file path=xl/sharedStrings.xml><?xml version="1.0" encoding="utf-8"?>
<sst xmlns="http://schemas.openxmlformats.org/spreadsheetml/2006/main" count="559" uniqueCount="180">
  <si>
    <t>ID_Commande</t>
  </si>
  <si>
    <t>Date</t>
  </si>
  <si>
    <t>Client</t>
  </si>
  <si>
    <t>Region</t>
  </si>
  <si>
    <t>Categorie_Produit</t>
  </si>
  <si>
    <t>Produit</t>
  </si>
  <si>
    <t>Prix_Unitaire</t>
  </si>
  <si>
    <t>Quantite</t>
  </si>
  <si>
    <t>Remise</t>
  </si>
  <si>
    <t>Cout_Unitaire</t>
  </si>
  <si>
    <t>CMD-1001</t>
  </si>
  <si>
    <t>Client_A</t>
  </si>
  <si>
    <t>Casque Audio</t>
  </si>
  <si>
    <t>CMD-1002</t>
  </si>
  <si>
    <t>Client_B</t>
  </si>
  <si>
    <t>Mobilier</t>
  </si>
  <si>
    <t>Chaise Ergonomique</t>
  </si>
  <si>
    <t>CMD-1003</t>
  </si>
  <si>
    <t>Client_C</t>
  </si>
  <si>
    <t>Laval</t>
  </si>
  <si>
    <t>Informatique</t>
  </si>
  <si>
    <t>CMD-1004</t>
  </si>
  <si>
    <t>Client_D</t>
  </si>
  <si>
    <t>Gatineau</t>
  </si>
  <si>
    <t>Accessoires</t>
  </si>
  <si>
    <t>Tapis de souris</t>
  </si>
  <si>
    <t>CMD-1005</t>
  </si>
  <si>
    <t>Client_E</t>
  </si>
  <si>
    <t>CMD-1006</t>
  </si>
  <si>
    <t>Client_F</t>
  </si>
  <si>
    <t>Sherbrooke</t>
  </si>
  <si>
    <t>Bureau Assis-Debout</t>
  </si>
  <si>
    <t>CMD-1007</t>
  </si>
  <si>
    <t>Client_G</t>
  </si>
  <si>
    <t>Souris Sans Fil</t>
  </si>
  <si>
    <t>CMD-1008</t>
  </si>
  <si>
    <t>Client_H</t>
  </si>
  <si>
    <t>CMD-1009</t>
  </si>
  <si>
    <t>Client_I</t>
  </si>
  <si>
    <t>CMD-1010</t>
  </si>
  <si>
    <t>Client_J</t>
  </si>
  <si>
    <t>CMD-1011</t>
  </si>
  <si>
    <t>Client_K</t>
  </si>
  <si>
    <t>CMD-1012</t>
  </si>
  <si>
    <t>Client_L</t>
  </si>
  <si>
    <t>Support Ordinateur</t>
  </si>
  <si>
    <t>CMD-1013</t>
  </si>
  <si>
    <t>Client_M</t>
  </si>
  <si>
    <t>Webcam HD</t>
  </si>
  <si>
    <t>CMD-1014</t>
  </si>
  <si>
    <t>Client_N</t>
  </si>
  <si>
    <t>Lampe de bureau</t>
  </si>
  <si>
    <t>CMD-1015</t>
  </si>
  <si>
    <t>Client_O</t>
  </si>
  <si>
    <t>CMD-1016</t>
  </si>
  <si>
    <t>Client_P</t>
  </si>
  <si>
    <t>Enceinte Bluetooth</t>
  </si>
  <si>
    <t>CMD-1017</t>
  </si>
  <si>
    <t>Client_Q</t>
  </si>
  <si>
    <t>CMD-1018</t>
  </si>
  <si>
    <t>Client_R</t>
  </si>
  <si>
    <t>CMD-1019</t>
  </si>
  <si>
    <t>Client_S</t>
  </si>
  <si>
    <t>CMD-1020</t>
  </si>
  <si>
    <t>Client_T</t>
  </si>
  <si>
    <t>CMD-1021</t>
  </si>
  <si>
    <t>Client_U</t>
  </si>
  <si>
    <t>CMD-1022</t>
  </si>
  <si>
    <t>Client_V</t>
  </si>
  <si>
    <t>CMD-1023</t>
  </si>
  <si>
    <t>Client_W</t>
  </si>
  <si>
    <t>CMD-1024</t>
  </si>
  <si>
    <t>Client_X</t>
  </si>
  <si>
    <t>CMD-1025</t>
  </si>
  <si>
    <t>Client_Y</t>
  </si>
  <si>
    <t>CMD-1026</t>
  </si>
  <si>
    <t>Client_Z</t>
  </si>
  <si>
    <t>CMD-1027</t>
  </si>
  <si>
    <t>CMD-1028</t>
  </si>
  <si>
    <t>CMD-1029</t>
  </si>
  <si>
    <t>CMD-1030</t>
  </si>
  <si>
    <t>CMD-1031</t>
  </si>
  <si>
    <t>CMD-1032</t>
  </si>
  <si>
    <t>CMD-1033</t>
  </si>
  <si>
    <t>CMD-1034</t>
  </si>
  <si>
    <t>CMD-1035</t>
  </si>
  <si>
    <t>CMD-1036</t>
  </si>
  <si>
    <t>CMD-1037</t>
  </si>
  <si>
    <t>CMD-1038</t>
  </si>
  <si>
    <t>CMD-1039</t>
  </si>
  <si>
    <t>CMD-1040</t>
  </si>
  <si>
    <t>CMD-1041</t>
  </si>
  <si>
    <t>CMD-1042</t>
  </si>
  <si>
    <t>CMD-1043</t>
  </si>
  <si>
    <t>CMD-1044</t>
  </si>
  <si>
    <t>CMD-1045</t>
  </si>
  <si>
    <t>CMD-1046</t>
  </si>
  <si>
    <t>CMD-1047</t>
  </si>
  <si>
    <t>CMD-1048</t>
  </si>
  <si>
    <t>CMD-1049</t>
  </si>
  <si>
    <t>CMD-1050</t>
  </si>
  <si>
    <t>CMD-1051</t>
  </si>
  <si>
    <t>CMD-1052</t>
  </si>
  <si>
    <t>CMD-1053</t>
  </si>
  <si>
    <t>CMD-1054</t>
  </si>
  <si>
    <t>CMD-1055</t>
  </si>
  <si>
    <t>CMD-1056</t>
  </si>
  <si>
    <t>CMD-1057</t>
  </si>
  <si>
    <t>CMD-1058</t>
  </si>
  <si>
    <t>CMD-1059</t>
  </si>
  <si>
    <t>CMD-1060</t>
  </si>
  <si>
    <t>CMD-1061</t>
  </si>
  <si>
    <t>CMD-1062</t>
  </si>
  <si>
    <t>CMD-1063</t>
  </si>
  <si>
    <t>CMD-1064</t>
  </si>
  <si>
    <t>CMD-1065</t>
  </si>
  <si>
    <t>CMD-1066</t>
  </si>
  <si>
    <t>CMD-1067</t>
  </si>
  <si>
    <t>CMD-1068</t>
  </si>
  <si>
    <t>CMD-1069</t>
  </si>
  <si>
    <t>CMD-1070</t>
  </si>
  <si>
    <t>CMD-1071</t>
  </si>
  <si>
    <t>CMD-1072</t>
  </si>
  <si>
    <t>CMD-1073</t>
  </si>
  <si>
    <t>CMD-1074</t>
  </si>
  <si>
    <t>CMD-1075</t>
  </si>
  <si>
    <t>CMD-1076</t>
  </si>
  <si>
    <t>CMD-1077</t>
  </si>
  <si>
    <t>CMD-1078</t>
  </si>
  <si>
    <t>CMD-1079</t>
  </si>
  <si>
    <t>CMD-1080</t>
  </si>
  <si>
    <t>CMD-1081</t>
  </si>
  <si>
    <t>CMD-1082</t>
  </si>
  <si>
    <t>CMD-1083</t>
  </si>
  <si>
    <t>CMD-1084</t>
  </si>
  <si>
    <t>CMD-1085</t>
  </si>
  <si>
    <t>CMD-1086</t>
  </si>
  <si>
    <t>CMD-1087</t>
  </si>
  <si>
    <t>CMD-1088</t>
  </si>
  <si>
    <t>CMD-1089</t>
  </si>
  <si>
    <t>CMD-1090</t>
  </si>
  <si>
    <t>CMD-1091</t>
  </si>
  <si>
    <t>CMD-1092</t>
  </si>
  <si>
    <t>CMD-1093</t>
  </si>
  <si>
    <t>CMD-1094</t>
  </si>
  <si>
    <t>CMD-1095</t>
  </si>
  <si>
    <t>CMD-1096</t>
  </si>
  <si>
    <t>CMD-1097</t>
  </si>
  <si>
    <t>CMD-1098</t>
  </si>
  <si>
    <t>CMD-1099</t>
  </si>
  <si>
    <t>CMD-1100</t>
  </si>
  <si>
    <t>CA Brut</t>
  </si>
  <si>
    <t>CA Net</t>
  </si>
  <si>
    <t>Marge totale</t>
  </si>
  <si>
    <t>Total général</t>
  </si>
  <si>
    <t>Somme de CA Net</t>
  </si>
  <si>
    <t>Somme de Marge totale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</si>
  <si>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</si>
  <si>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</si>
  <si>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</si>
  <si>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</si>
  <si>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</si>
  <si>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</si>
  <si>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</si>
  <si>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</si>
  <si>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</si>
  <si>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</si>
  <si>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Québec</t>
  </si>
  <si>
    <t>Montréal</t>
  </si>
  <si>
    <t>Electronique</t>
  </si>
  <si>
    <t>Clavier Mécanique</t>
  </si>
  <si>
    <t>Ecran 27 pouces</t>
  </si>
  <si>
    <t>Câble HDMI</t>
  </si>
  <si>
    <t>Régions</t>
  </si>
  <si>
    <t>Produits</t>
  </si>
  <si>
    <t>Catégorie Produit</t>
  </si>
  <si>
    <t>TABLEAU DE BORD - PERFORMANCE COMMERCIALE &amp; MARGES (2025)</t>
  </si>
  <si>
    <t>Projet 1 : Analyse des Ventes et Performance Commerciale (Niveau Débutant / Intermédiaire)</t>
  </si>
  <si>
    <r>
      <t>Le scénario :</t>
    </r>
    <r>
      <rPr>
        <sz val="11"/>
        <color theme="1"/>
        <rFont val="Calibri"/>
        <family val="2"/>
        <scheme val="minor"/>
      </rPr>
      <t xml:space="preserve"> Une entreprise de commerce de détail vous fournit l'historique des ventes de l'année écoulée et souhaite identifier ses produits phares, ses régions les plus rentables et la saisonnalité des ventes.</t>
    </r>
  </si>
  <si>
    <t>Mois/Jours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</si>
</sst>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CAD]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9" fontId="0" fillId="0" borderId="0" xfId="1" applyFont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3" borderId="0" xfId="0" applyNumberFormat="1" applyFill="1"/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</cellXfs>
  <cellStyles count="2">
    <cellStyle name="Normal" xfId="0" builtinId="0"/>
    <cellStyle name="Pourcentage" xfId="1" builtinId="5"/>
  </cellStyles>
  <dxfs count="5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\ [$CAD]"/>
      <fill>
        <patternFill patternType="solid">
          <fgColor indexed="64"/>
          <bgColor theme="9" tint="0.39997558519241921"/>
        </patternFill>
      </fill>
    </dxf>
    <dxf>
      <numFmt numFmtId="164" formatCode="#,##0\ [$CAD]"/>
      <fill>
        <patternFill patternType="solid">
          <fgColor indexed="64"/>
          <bgColor theme="9" tint="0.39997558519241921"/>
        </patternFill>
      </fill>
    </dxf>
    <dxf>
      <numFmt numFmtId="164" formatCode="#,##0\ [$CAD]"/>
      <fill>
        <patternFill patternType="solid">
          <fgColor indexed="64"/>
          <bgColor theme="9" tint="0.39997558519241921"/>
        </patternFill>
      </fill>
    </dxf>
    <dxf>
      <numFmt numFmtId="164" formatCode="#,##0\ [$CAD]"/>
    </dxf>
    <dxf>
      <numFmt numFmtId="164" formatCode="#,##0\ [$CAD]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[Dashboard_RH_Attrition.xlsx]DASHBOARD!Tableau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M" sz="1400" b="1" i="0" u="none" strike="noStrike" baseline="0"/>
              <a:t>Chiffre d'Affaires et Marge par Région</a:t>
            </a:r>
            <a:endParaRPr lang="fr-CM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M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Somme de CA Net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DASHBOARD!$A$4:$A$9</c:f>
              <c:strCache>
                <c:ptCount val="5"/>
                <c:pt idx="0">
                  <c:v>Gatineau</c:v>
                </c:pt>
                <c:pt idx="1">
                  <c:v>Laval</c:v>
                </c:pt>
                <c:pt idx="2">
                  <c:v>Sherbrooke</c:v>
                </c:pt>
                <c:pt idx="3">
                  <c:v>Québec</c:v>
                </c:pt>
                <c:pt idx="4">
                  <c:v>Montréal</c:v>
                </c:pt>
              </c:strCache>
            </c:strRef>
          </c:cat>
          <c:val>
            <c:numRef>
              <c:f>DASHBOARD!$B$4:$B$9</c:f>
              <c:numCache>
                <c:formatCode>#\ ##0\ [$CAD]</c:formatCode>
                <c:ptCount val="5"/>
                <c:pt idx="0">
                  <c:v>4186.25</c:v>
                </c:pt>
                <c:pt idx="1">
                  <c:v>3424.75</c:v>
                </c:pt>
                <c:pt idx="2">
                  <c:v>3904</c:v>
                </c:pt>
                <c:pt idx="3">
                  <c:v>5208</c:v>
                </c:pt>
                <c:pt idx="4">
                  <c:v>5345.5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7-4557-8F08-91908372854D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Somme de Marge totale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DASHBOARD!$A$4:$A$9</c:f>
              <c:strCache>
                <c:ptCount val="5"/>
                <c:pt idx="0">
                  <c:v>Gatineau</c:v>
                </c:pt>
                <c:pt idx="1">
                  <c:v>Laval</c:v>
                </c:pt>
                <c:pt idx="2">
                  <c:v>Sherbrooke</c:v>
                </c:pt>
                <c:pt idx="3">
                  <c:v>Québec</c:v>
                </c:pt>
                <c:pt idx="4">
                  <c:v>Montréal</c:v>
                </c:pt>
              </c:strCache>
            </c:strRef>
          </c:cat>
          <c:val>
            <c:numRef>
              <c:f>DASHBOARD!$C$4:$C$9</c:f>
              <c:numCache>
                <c:formatCode>#\ ##0\ [$CAD]</c:formatCode>
                <c:ptCount val="5"/>
                <c:pt idx="0">
                  <c:v>1615.25</c:v>
                </c:pt>
                <c:pt idx="1">
                  <c:v>1420.75</c:v>
                </c:pt>
                <c:pt idx="2">
                  <c:v>1530</c:v>
                </c:pt>
                <c:pt idx="3">
                  <c:v>2046</c:v>
                </c:pt>
                <c:pt idx="4">
                  <c:v>2042.5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D7-4557-8F08-919083728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8663720"/>
        <c:axId val="328659040"/>
      </c:barChart>
      <c:catAx>
        <c:axId val="328663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8659040"/>
        <c:crosses val="autoZero"/>
        <c:auto val="1"/>
        <c:lblAlgn val="ctr"/>
        <c:lblOffset val="100"/>
        <c:noMultiLvlLbl val="0"/>
      </c:catAx>
      <c:valAx>
        <c:axId val="328659040"/>
        <c:scaling>
          <c:orientation val="minMax"/>
        </c:scaling>
        <c:delete val="0"/>
        <c:axPos val="l"/>
        <c:numFmt formatCode="#\ ##0\ [$CAD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8663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[Dashboard_RH_Attrition.xlsx]DASHBOARD!Tableau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M" sz="1400" b="1" i="0" u="none" strike="noStrike" baseline="0"/>
              <a:t>Évolution Mensuelle des Ventes par Catégorie</a:t>
            </a:r>
            <a:endParaRPr lang="fr-CM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CM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DASHBOARD!$B$14:$B$17</c:f>
              <c:strCache>
                <c:ptCount val="1"/>
                <c:pt idx="0">
                  <c:v>janv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DASHBOARD!$A$18:$A$22</c:f>
              <c:strCache>
                <c:ptCount val="4"/>
                <c:pt idx="0">
                  <c:v>Mobilier</c:v>
                </c:pt>
                <c:pt idx="1">
                  <c:v>Informatique</c:v>
                </c:pt>
                <c:pt idx="2">
                  <c:v>Electronique</c:v>
                </c:pt>
                <c:pt idx="3">
                  <c:v>Accessoires</c:v>
                </c:pt>
              </c:strCache>
            </c:strRef>
          </c:cat>
          <c:val>
            <c:numRef>
              <c:f>DASHBOARD!$B$18:$B$22</c:f>
              <c:numCache>
                <c:formatCode>#\ ##0\ [$CAD]</c:formatCode>
                <c:ptCount val="4"/>
                <c:pt idx="0">
                  <c:v>1127.5</c:v>
                </c:pt>
                <c:pt idx="1">
                  <c:v>409.5</c:v>
                </c:pt>
                <c:pt idx="2">
                  <c:v>620</c:v>
                </c:pt>
                <c:pt idx="3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66-4FD2-B13E-0DF50FB81124}"/>
            </c:ext>
          </c:extLst>
        </c:ser>
        <c:ser>
          <c:idx val="1"/>
          <c:order val="1"/>
          <c:tx>
            <c:strRef>
              <c:f>DASHBOARD!$C$14:$C$17</c:f>
              <c:strCache>
                <c:ptCount val="1"/>
                <c:pt idx="0">
                  <c:v>févr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DASHBOARD!$A$18:$A$22</c:f>
              <c:strCache>
                <c:ptCount val="4"/>
                <c:pt idx="0">
                  <c:v>Mobilier</c:v>
                </c:pt>
                <c:pt idx="1">
                  <c:v>Informatique</c:v>
                </c:pt>
                <c:pt idx="2">
                  <c:v>Electronique</c:v>
                </c:pt>
                <c:pt idx="3">
                  <c:v>Accessoires</c:v>
                </c:pt>
              </c:strCache>
            </c:strRef>
          </c:cat>
          <c:val>
            <c:numRef>
              <c:f>DASHBOARD!$C$18:$C$22</c:f>
              <c:numCache>
                <c:formatCode>#\ ##0\ [$CAD]</c:formatCode>
                <c:ptCount val="4"/>
                <c:pt idx="0">
                  <c:v>610</c:v>
                </c:pt>
                <c:pt idx="1">
                  <c:v>969.25</c:v>
                </c:pt>
                <c:pt idx="2">
                  <c:v>579</c:v>
                </c:pt>
                <c:pt idx="3">
                  <c:v>207.75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6AD1-4733-BE60-D01633360165}"/>
            </c:ext>
          </c:extLst>
        </c:ser>
        <c:ser>
          <c:idx val="2"/>
          <c:order val="2"/>
          <c:tx>
            <c:strRef>
              <c:f>DASHBOARD!$D$14:$D$17</c:f>
              <c:strCache>
                <c:ptCount val="1"/>
                <c:pt idx="0">
                  <c:v>mars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DASHBOARD!$A$18:$A$22</c:f>
              <c:strCache>
                <c:ptCount val="4"/>
                <c:pt idx="0">
                  <c:v>Mobilier</c:v>
                </c:pt>
                <c:pt idx="1">
                  <c:v>Informatique</c:v>
                </c:pt>
                <c:pt idx="2">
                  <c:v>Electronique</c:v>
                </c:pt>
                <c:pt idx="3">
                  <c:v>Accessoires</c:v>
                </c:pt>
              </c:strCache>
            </c:strRef>
          </c:cat>
          <c:val>
            <c:numRef>
              <c:f>DASHBOARD!$D$18:$D$22</c:f>
              <c:numCache>
                <c:formatCode>#\ ##0\ [$CAD]</c:formatCode>
                <c:ptCount val="4"/>
                <c:pt idx="0">
                  <c:v>1136</c:v>
                </c:pt>
                <c:pt idx="1">
                  <c:v>543</c:v>
                </c:pt>
                <c:pt idx="2">
                  <c:v>396.5</c:v>
                </c:pt>
                <c:pt idx="3">
                  <c:v>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6AD1-4733-BE60-D01633360165}"/>
            </c:ext>
          </c:extLst>
        </c:ser>
        <c:ser>
          <c:idx val="3"/>
          <c:order val="3"/>
          <c:tx>
            <c:strRef>
              <c:f>DASHBOARD!$E$14:$E$17</c:f>
              <c:strCache>
                <c:ptCount val="1"/>
                <c:pt idx="0">
                  <c:v>avr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DASHBOARD!$A$18:$A$22</c:f>
              <c:strCache>
                <c:ptCount val="4"/>
                <c:pt idx="0">
                  <c:v>Mobilier</c:v>
                </c:pt>
                <c:pt idx="1">
                  <c:v>Informatique</c:v>
                </c:pt>
                <c:pt idx="2">
                  <c:v>Electronique</c:v>
                </c:pt>
                <c:pt idx="3">
                  <c:v>Accessoires</c:v>
                </c:pt>
              </c:strCache>
            </c:strRef>
          </c:cat>
          <c:val>
            <c:numRef>
              <c:f>DASHBOARD!$E$18:$E$22</c:f>
              <c:numCache>
                <c:formatCode>#\ ##0\ [$CAD]</c:formatCode>
                <c:ptCount val="4"/>
                <c:pt idx="0">
                  <c:v>277.5</c:v>
                </c:pt>
                <c:pt idx="1">
                  <c:v>725.5</c:v>
                </c:pt>
                <c:pt idx="2">
                  <c:v>587.25</c:v>
                </c:pt>
                <c:pt idx="3">
                  <c:v>437.5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6AD1-4733-BE60-D01633360165}"/>
            </c:ext>
          </c:extLst>
        </c:ser>
        <c:ser>
          <c:idx val="4"/>
          <c:order val="4"/>
          <c:tx>
            <c:strRef>
              <c:f>DASHBOARD!$F$14:$F$17</c:f>
              <c:strCache>
                <c:ptCount val="1"/>
                <c:pt idx="0">
                  <c:v>mai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DASHBOARD!$A$18:$A$22</c:f>
              <c:strCache>
                <c:ptCount val="4"/>
                <c:pt idx="0">
                  <c:v>Mobilier</c:v>
                </c:pt>
                <c:pt idx="1">
                  <c:v>Informatique</c:v>
                </c:pt>
                <c:pt idx="2">
                  <c:v>Electronique</c:v>
                </c:pt>
                <c:pt idx="3">
                  <c:v>Accessoires</c:v>
                </c:pt>
              </c:strCache>
            </c:strRef>
          </c:cat>
          <c:val>
            <c:numRef>
              <c:f>DASHBOARD!$F$18:$F$22</c:f>
              <c:numCache>
                <c:formatCode>#\ ##0\ [$CAD]</c:formatCode>
                <c:ptCount val="4"/>
                <c:pt idx="0">
                  <c:v>1155</c:v>
                </c:pt>
                <c:pt idx="1">
                  <c:v>746</c:v>
                </c:pt>
                <c:pt idx="2">
                  <c:v>249</c:v>
                </c:pt>
                <c:pt idx="3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6AD1-4733-BE60-D01633360165}"/>
            </c:ext>
          </c:extLst>
        </c:ser>
        <c:ser>
          <c:idx val="5"/>
          <c:order val="5"/>
          <c:tx>
            <c:strRef>
              <c:f>DASHBOARD!$G$14:$G$17</c:f>
              <c:strCache>
                <c:ptCount val="1"/>
                <c:pt idx="0">
                  <c:v>juin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DASHBOARD!$A$18:$A$22</c:f>
              <c:strCache>
                <c:ptCount val="4"/>
                <c:pt idx="0">
                  <c:v>Mobilier</c:v>
                </c:pt>
                <c:pt idx="1">
                  <c:v>Informatique</c:v>
                </c:pt>
                <c:pt idx="2">
                  <c:v>Electronique</c:v>
                </c:pt>
                <c:pt idx="3">
                  <c:v>Accessoires</c:v>
                </c:pt>
              </c:strCache>
            </c:strRef>
          </c:cat>
          <c:val>
            <c:numRef>
              <c:f>DASHBOARD!$G$18:$G$22</c:f>
              <c:numCache>
                <c:formatCode>#\ ##0\ [$CAD]</c:formatCode>
                <c:ptCount val="4"/>
                <c:pt idx="0">
                  <c:v>687.5</c:v>
                </c:pt>
                <c:pt idx="1">
                  <c:v>737.5</c:v>
                </c:pt>
                <c:pt idx="2">
                  <c:v>558</c:v>
                </c:pt>
                <c:pt idx="3">
                  <c:v>278.75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6AD1-4733-BE60-D01633360165}"/>
            </c:ext>
          </c:extLst>
        </c:ser>
        <c:ser>
          <c:idx val="6"/>
          <c:order val="6"/>
          <c:tx>
            <c:strRef>
              <c:f>DASHBOARD!$H$14:$H$17</c:f>
              <c:strCache>
                <c:ptCount val="1"/>
                <c:pt idx="0">
                  <c:v>juil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DASHBOARD!$A$18:$A$22</c:f>
              <c:strCache>
                <c:ptCount val="4"/>
                <c:pt idx="0">
                  <c:v>Mobilier</c:v>
                </c:pt>
                <c:pt idx="1">
                  <c:v>Informatique</c:v>
                </c:pt>
                <c:pt idx="2">
                  <c:v>Electronique</c:v>
                </c:pt>
                <c:pt idx="3">
                  <c:v>Accessoires</c:v>
                </c:pt>
              </c:strCache>
            </c:strRef>
          </c:cat>
          <c:val>
            <c:numRef>
              <c:f>DASHBOARD!$H$18:$H$22</c:f>
              <c:numCache>
                <c:formatCode>#\ ##0\ [$CAD]</c:formatCode>
                <c:ptCount val="4"/>
                <c:pt idx="0">
                  <c:v>1341</c:v>
                </c:pt>
                <c:pt idx="1">
                  <c:v>632</c:v>
                </c:pt>
                <c:pt idx="2">
                  <c:v>414</c:v>
                </c:pt>
                <c:pt idx="3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6AD1-4733-BE60-D01633360165}"/>
            </c:ext>
          </c:extLst>
        </c:ser>
        <c:ser>
          <c:idx val="7"/>
          <c:order val="7"/>
          <c:tx>
            <c:strRef>
              <c:f>DASHBOARD!$I$14:$I$17</c:f>
              <c:strCache>
                <c:ptCount val="1"/>
                <c:pt idx="0">
                  <c:v>août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DASHBOARD!$A$18:$A$22</c:f>
              <c:strCache>
                <c:ptCount val="4"/>
                <c:pt idx="0">
                  <c:v>Mobilier</c:v>
                </c:pt>
                <c:pt idx="1">
                  <c:v>Informatique</c:v>
                </c:pt>
                <c:pt idx="2">
                  <c:v>Electronique</c:v>
                </c:pt>
                <c:pt idx="3">
                  <c:v>Accessoires</c:v>
                </c:pt>
              </c:strCache>
            </c:strRef>
          </c:cat>
          <c:val>
            <c:numRef>
              <c:f>DASHBOARD!$I$18:$I$22</c:f>
              <c:numCache>
                <c:formatCode>#\ ##0\ [$CAD]</c:formatCode>
                <c:ptCount val="4"/>
                <c:pt idx="0">
                  <c:v>467.5</c:v>
                </c:pt>
                <c:pt idx="1">
                  <c:v>424</c:v>
                </c:pt>
                <c:pt idx="2">
                  <c:v>442.5</c:v>
                </c:pt>
                <c:pt idx="3">
                  <c:v>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6AD1-4733-BE60-D01633360165}"/>
            </c:ext>
          </c:extLst>
        </c:ser>
        <c:ser>
          <c:idx val="8"/>
          <c:order val="8"/>
          <c:tx>
            <c:strRef>
              <c:f>DASHBOARD!$J$14:$J$17</c:f>
              <c:strCache>
                <c:ptCount val="1"/>
                <c:pt idx="0">
                  <c:v>sept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DASHBOARD!$A$18:$A$22</c:f>
              <c:strCache>
                <c:ptCount val="4"/>
                <c:pt idx="0">
                  <c:v>Mobilier</c:v>
                </c:pt>
                <c:pt idx="1">
                  <c:v>Informatique</c:v>
                </c:pt>
                <c:pt idx="2">
                  <c:v>Electronique</c:v>
                </c:pt>
                <c:pt idx="3">
                  <c:v>Accessoires</c:v>
                </c:pt>
              </c:strCache>
            </c:strRef>
          </c:cat>
          <c:val>
            <c:numRef>
              <c:f>DASHBOARD!$J$18:$J$22</c:f>
              <c:numCache>
                <c:formatCode>#\ ##0\ [$CAD]</c:formatCode>
                <c:ptCount val="4"/>
                <c:pt idx="0">
                  <c:v>811</c:v>
                </c:pt>
                <c:pt idx="1">
                  <c:v>1107</c:v>
                </c:pt>
                <c:pt idx="2">
                  <c:v>165</c:v>
                </c:pt>
                <c:pt idx="3">
                  <c:v>149.75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6AD1-4733-BE60-D01633360165}"/>
            </c:ext>
          </c:extLst>
        </c:ser>
        <c:ser>
          <c:idx val="9"/>
          <c:order val="9"/>
          <c:tx>
            <c:strRef>
              <c:f>DASHBOARD!$K$14:$K$17</c:f>
              <c:strCache>
                <c:ptCount val="1"/>
                <c:pt idx="0">
                  <c:v>oct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DASHBOARD!$A$18:$A$22</c:f>
              <c:strCache>
                <c:ptCount val="4"/>
                <c:pt idx="0">
                  <c:v>Mobilier</c:v>
                </c:pt>
                <c:pt idx="1">
                  <c:v>Informatique</c:v>
                </c:pt>
                <c:pt idx="2">
                  <c:v>Electronique</c:v>
                </c:pt>
                <c:pt idx="3">
                  <c:v>Accessoires</c:v>
                </c:pt>
              </c:strCache>
            </c:strRef>
          </c:cat>
          <c:val>
            <c:numRef>
              <c:f>DASHBOARD!$K$18:$K$22</c:f>
              <c:numCache>
                <c:formatCode>#\ ##0\ [$CAD]</c:formatCode>
                <c:ptCount val="4"/>
                <c:pt idx="0">
                  <c:v>580</c:v>
                </c:pt>
                <c:pt idx="1">
                  <c:v>365</c:v>
                </c:pt>
                <c:pt idx="2">
                  <c:v>727.5</c:v>
                </c:pt>
                <c:pt idx="3">
                  <c:v>261.25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6AD1-4733-BE60-D01633360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5064264"/>
        <c:axId val="380379040"/>
      </c:lineChart>
      <c:catAx>
        <c:axId val="375064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0379040"/>
        <c:crosses val="autoZero"/>
        <c:auto val="1"/>
        <c:lblAlgn val="ctr"/>
        <c:lblOffset val="100"/>
        <c:noMultiLvlLbl val="0"/>
      </c:catAx>
      <c:valAx>
        <c:axId val="380379040"/>
        <c:scaling>
          <c:orientation val="minMax"/>
        </c:scaling>
        <c:delete val="0"/>
        <c:axPos val="l"/>
        <c:numFmt formatCode="#\ ##0\ [$CAD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75064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[Dashboard_RH_Attrition.xlsx]DASHBOARD!Tableau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M" sz="1400" b="1" i="0" u="none" strike="noStrike" baseline="0"/>
              <a:t>Top 5 des Produits les plus Rentables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DASHBOARD!$A$26:$A$38</c:f>
              <c:strCache>
                <c:ptCount val="12"/>
                <c:pt idx="0">
                  <c:v>Bureau Assis-Debout</c:v>
                </c:pt>
                <c:pt idx="1">
                  <c:v>Ecran 27 pouces</c:v>
                </c:pt>
                <c:pt idx="2">
                  <c:v>Chaise Ergonomique</c:v>
                </c:pt>
                <c:pt idx="3">
                  <c:v>Clavier Mécanique</c:v>
                </c:pt>
                <c:pt idx="4">
                  <c:v>Casque Audio</c:v>
                </c:pt>
                <c:pt idx="5">
                  <c:v>Souris Sans Fil</c:v>
                </c:pt>
                <c:pt idx="6">
                  <c:v>Câble HDMI</c:v>
                </c:pt>
                <c:pt idx="7">
                  <c:v>Webcam HD</c:v>
                </c:pt>
                <c:pt idx="8">
                  <c:v>Tapis de souris</c:v>
                </c:pt>
                <c:pt idx="9">
                  <c:v>Enceinte Bluetooth</c:v>
                </c:pt>
                <c:pt idx="10">
                  <c:v>Support Ordinateur</c:v>
                </c:pt>
                <c:pt idx="11">
                  <c:v>Lampe de bureau</c:v>
                </c:pt>
              </c:strCache>
            </c:strRef>
          </c:cat>
          <c:val>
            <c:numRef>
              <c:f>DASHBOARD!$B$26:$B$38</c:f>
              <c:numCache>
                <c:formatCode>#\ ##0\ [$CAD]</c:formatCode>
                <c:ptCount val="12"/>
                <c:pt idx="0">
                  <c:v>1340</c:v>
                </c:pt>
                <c:pt idx="1">
                  <c:v>1284</c:v>
                </c:pt>
                <c:pt idx="2">
                  <c:v>1225</c:v>
                </c:pt>
                <c:pt idx="3">
                  <c:v>761</c:v>
                </c:pt>
                <c:pt idx="4">
                  <c:v>742</c:v>
                </c:pt>
                <c:pt idx="5">
                  <c:v>675.75</c:v>
                </c:pt>
                <c:pt idx="6">
                  <c:v>641.75</c:v>
                </c:pt>
                <c:pt idx="7">
                  <c:v>501</c:v>
                </c:pt>
                <c:pt idx="8">
                  <c:v>431.25</c:v>
                </c:pt>
                <c:pt idx="9">
                  <c:v>403.75</c:v>
                </c:pt>
                <c:pt idx="10">
                  <c:v>339</c:v>
                </c:pt>
                <c:pt idx="11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EC-4CA9-B277-EF57912CA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12144376"/>
        <c:axId val="512140056"/>
      </c:barChart>
      <c:catAx>
        <c:axId val="512144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140056"/>
        <c:crosses val="autoZero"/>
        <c:auto val="1"/>
        <c:lblAlgn val="ctr"/>
        <c:lblOffset val="100"/>
        <c:noMultiLvlLbl val="0"/>
      </c:catAx>
      <c:valAx>
        <c:axId val="512140056"/>
        <c:scaling>
          <c:orientation val="minMax"/>
        </c:scaling>
        <c:delete val="0"/>
        <c:axPos val="b"/>
        <c:numFmt formatCode="#\ ##0\ [$CAD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1214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42331</xdr:colOff>
      <xdr:row>2</xdr:row>
      <xdr:rowOff>152400</xdr:rowOff>
    </xdr:from>
    <xdr:to>
      <xdr:col>22</xdr:col>
      <xdr:colOff>169334</xdr:colOff>
      <xdr:row>21</xdr:row>
      <xdr:rowOff>31750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E592857-567B-CDB0-A515-DFA91C9A6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63500</xdr:colOff>
      <xdr:row>22</xdr:row>
      <xdr:rowOff>63500</xdr:rowOff>
    </xdr:from>
    <xdr:to>
      <xdr:col>22</xdr:col>
      <xdr:colOff>190500</xdr:colOff>
      <xdr:row>42</xdr:row>
      <xdr:rowOff>63500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E772965-6D52-1D9B-9895-E85A7E579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105832</xdr:colOff>
      <xdr:row>43</xdr:row>
      <xdr:rowOff>148167</xdr:rowOff>
    </xdr:from>
    <xdr:to>
      <xdr:col>22</xdr:col>
      <xdr:colOff>254000</xdr:colOff>
      <xdr:row>64</xdr:row>
      <xdr:rowOff>179916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66ED159-4F7F-B0ED-E115-37FC01FB1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244928</xdr:colOff>
      <xdr:row>23</xdr:row>
      <xdr:rowOff>108707</xdr:rowOff>
    </xdr:from>
    <xdr:to>
      <xdr:col>6</xdr:col>
      <xdr:colOff>95401</xdr:colOff>
      <xdr:row>32</xdr:row>
      <xdr:rowOff>111881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Region">
              <a:extLst>
                <a:ext uri="{FF2B5EF4-FFF2-40B4-BE49-F238E27FC236}">
                  <a16:creationId xmlns:a16="http://schemas.microsoft.com/office/drawing/2014/main" id="{B0549AFF-79A7-C0F8-3D52-8BFEB6329B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5178" y="4906926"/>
              <a:ext cx="1826911" cy="17176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M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131234</xdr:colOff>
      <xdr:row>23</xdr:row>
      <xdr:rowOff>92075</xdr:rowOff>
    </xdr:from>
    <xdr:to>
      <xdr:col>8</xdr:col>
      <xdr:colOff>17993</xdr:colOff>
      <xdr:row>36</xdr:row>
      <xdr:rowOff>139700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Produit">
              <a:extLst>
                <a:ext uri="{FF2B5EF4-FFF2-40B4-BE49-F238E27FC236}">
                  <a16:creationId xmlns:a16="http://schemas.microsoft.com/office/drawing/2014/main" id="{A32DEF94-6663-223D-A0DA-16EB8349AC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i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38901" y="4896908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M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40519</xdr:colOff>
      <xdr:row>23</xdr:row>
      <xdr:rowOff>108707</xdr:rowOff>
    </xdr:from>
    <xdr:to>
      <xdr:col>9</xdr:col>
      <xdr:colOff>920599</xdr:colOff>
      <xdr:row>30</xdr:row>
      <xdr:rowOff>175382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Categorie_Produit">
              <a:extLst>
                <a:ext uri="{FF2B5EF4-FFF2-40B4-BE49-F238E27FC236}">
                  <a16:creationId xmlns:a16="http://schemas.microsoft.com/office/drawing/2014/main" id="{9AE607D9-5159-3D80-4273-798435E52C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e_Produi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79832" y="4906926"/>
              <a:ext cx="1844486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M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AN" refreshedDate="46309.883557754627" createdVersion="8" refreshedVersion="8" minRefreshableVersion="3" recordCount="100" xr:uid="{05965E50-E996-4F85-8A58-5272D934824D}">
  <cacheSource type="worksheet">
    <worksheetSource name="VenteRetails"/>
  </cacheSource>
  <cacheFields count="15">
    <cacheField name="ID_Commande" numFmtId="0">
      <sharedItems/>
    </cacheField>
    <cacheField name="Date" numFmtId="14">
      <sharedItems containsSemiMixedTypes="0" containsNonDate="0" containsDate="1" containsString="0" minDate="2025-01-05T00:00:00" maxDate="2025-11-01T00:00:00" count="100">
        <d v="2025-01-05T00:00:00"/>
        <d v="2025-01-06T00:00:00"/>
        <d v="2025-01-08T00:00:00"/>
        <d v="2025-01-10T00:00:00"/>
        <d v="2025-01-12T00:00:00"/>
        <d v="2025-01-15T00:00:00"/>
        <d v="2025-01-18T00:00:00"/>
        <d v="2025-01-20T00:00:00"/>
        <d v="2025-01-22T00:00:00"/>
        <d v="2025-01-25T00:00:00"/>
        <d v="2025-02-01T00:00:00"/>
        <d v="2025-02-03T00:00:00"/>
        <d v="2025-02-05T00:00:00"/>
        <d v="2025-02-08T00:00:00"/>
        <d v="2025-02-10T00:00:00"/>
        <d v="2025-02-14T00:00:00"/>
        <d v="2025-02-17T00:00:00"/>
        <d v="2025-02-20T00:00:00"/>
        <d v="2025-02-22T00:00:00"/>
        <d v="2025-02-26T00:00:00"/>
        <d v="2025-03-02T00:00:00"/>
        <d v="2025-03-05T00:00:00"/>
        <d v="2025-03-09T00:00:00"/>
        <d v="2025-03-12T00:00:00"/>
        <d v="2025-03-15T00:00:00"/>
        <d v="2025-03-18T00:00:00"/>
        <d v="2025-03-21T00:00:00"/>
        <d v="2025-03-25T00:00:00"/>
        <d v="2025-03-28T00:00:00"/>
        <d v="2025-03-30T00:00:00"/>
        <d v="2025-04-02T00:00:00"/>
        <d v="2025-04-05T00:00:00"/>
        <d v="2025-04-08T00:00:00"/>
        <d v="2025-04-12T00:00:00"/>
        <d v="2025-04-15T00:00:00"/>
        <d v="2025-04-19T00:00:00"/>
        <d v="2025-04-22T00:00:00"/>
        <d v="2025-04-25T00:00:00"/>
        <d v="2025-04-28T00:00:00"/>
        <d v="2025-04-30T00:00:00"/>
        <d v="2025-05-03T00:00:00"/>
        <d v="2025-05-06T00:00:00"/>
        <d v="2025-05-09T00:00:00"/>
        <d v="2025-05-12T00:00:00"/>
        <d v="2025-05-16T00:00:00"/>
        <d v="2025-05-20T00:00:00"/>
        <d v="2025-05-23T00:00:00"/>
        <d v="2025-05-27T00:00:00"/>
        <d v="2025-05-29T00:00:00"/>
        <d v="2025-05-31T00:00:00"/>
        <d v="2025-06-03T00:00:00"/>
        <d v="2025-06-06T00:00:00"/>
        <d v="2025-06-10T00:00:00"/>
        <d v="2025-06-14T00:00:00"/>
        <d v="2025-06-18T00:00:00"/>
        <d v="2025-06-21T00:00:00"/>
        <d v="2025-06-24T00:00:00"/>
        <d v="2025-06-27T00:00:00"/>
        <d v="2025-06-29T00:00:00"/>
        <d v="2025-06-30T00:00:00"/>
        <d v="2025-07-02T00:00:00"/>
        <d v="2025-07-05T00:00:00"/>
        <d v="2025-07-09T00:00:00"/>
        <d v="2025-07-12T00:00:00"/>
        <d v="2025-07-15T00:00:00"/>
        <d v="2025-07-19T00:00:00"/>
        <d v="2025-07-22T00:00:00"/>
        <d v="2025-07-25T00:00:00"/>
        <d v="2025-07-28T00:00:00"/>
        <d v="2025-07-31T00:00:00"/>
        <d v="2025-08-03T00:00:00"/>
        <d v="2025-08-06T00:00:00"/>
        <d v="2025-08-10T00:00:00"/>
        <d v="2025-08-14T00:00:00"/>
        <d v="2025-08-17T00:00:00"/>
        <d v="2025-08-20T00:00:00"/>
        <d v="2025-08-24T00:00:00"/>
        <d v="2025-08-27T00:00:00"/>
        <d v="2025-08-29T00:00:00"/>
        <d v="2025-08-31T00:00:00"/>
        <d v="2025-09-03T00:00:00"/>
        <d v="2025-09-06T00:00:00"/>
        <d v="2025-09-10T00:00:00"/>
        <d v="2025-09-13T00:00:00"/>
        <d v="2025-09-16T00:00:00"/>
        <d v="2025-09-20T00:00:00"/>
        <d v="2025-09-23T00:00:00"/>
        <d v="2025-09-26T00:00:00"/>
        <d v="2025-09-28T00:00:00"/>
        <d v="2025-09-30T00:00:00"/>
        <d v="2025-10-04T00:00:00"/>
        <d v="2025-10-08T00:00:00"/>
        <d v="2025-10-12T00:00:00"/>
        <d v="2025-10-15T00:00:00"/>
        <d v="2025-10-19T00:00:00"/>
        <d v="2025-10-22T00:00:00"/>
        <d v="2025-10-25T00:00:00"/>
        <d v="2025-10-28T00:00:00"/>
        <d v="2025-10-30T00:00:00"/>
        <d v="2025-10-31T00:00:00"/>
      </sharedItems>
      <fieldGroup par="14"/>
    </cacheField>
    <cacheField name="Client" numFmtId="0">
      <sharedItems/>
    </cacheField>
    <cacheField name="Region" numFmtId="0">
      <sharedItems count="7">
        <s v="Québec"/>
        <s v="Montréal"/>
        <s v="Laval"/>
        <s v="Gatineau"/>
        <s v="Sherbrooke"/>
        <s v="QuÃ©bec" u="1"/>
        <s v="MontrÃ©al" u="1"/>
      </sharedItems>
    </cacheField>
    <cacheField name="Categorie_Produit" numFmtId="0">
      <sharedItems count="5">
        <s v="Electronique"/>
        <s v="Mobilier"/>
        <s v="Informatique"/>
        <s v="Accessoires"/>
        <s v="Ã‰lectronique" u="1"/>
      </sharedItems>
    </cacheField>
    <cacheField name="Produit" numFmtId="0">
      <sharedItems count="15">
        <s v="Casque Audio"/>
        <s v="Chaise Ergonomique"/>
        <s v="Clavier Mécanique"/>
        <s v="Tapis de souris"/>
        <s v="Ecran 27 pouces"/>
        <s v="Bureau Assis-Debout"/>
        <s v="Souris Sans Fil"/>
        <s v="Câble HDMI"/>
        <s v="Support Ordinateur"/>
        <s v="Webcam HD"/>
        <s v="Lampe de bureau"/>
        <s v="Enceinte Bluetooth"/>
        <s v="Clavier MÃ©canique" u="1"/>
        <s v="Ã‰cran 27 pouces" u="1"/>
        <s v="CÃ¢ble HDMI" u="1"/>
      </sharedItems>
    </cacheField>
    <cacheField name="Prix_Unitaire" numFmtId="164">
      <sharedItems containsSemiMixedTypes="0" containsString="0" containsNumber="1" containsInteger="1" minValue="15" maxValue="450"/>
    </cacheField>
    <cacheField name="Quantite" numFmtId="0">
      <sharedItems containsSemiMixedTypes="0" containsString="0" containsNumber="1" containsInteger="1" minValue="1" maxValue="15"/>
    </cacheField>
    <cacheField name="Remise" numFmtId="9">
      <sharedItems containsSemiMixedTypes="0" containsString="0" containsNumber="1" minValue="0" maxValue="0.25"/>
    </cacheField>
    <cacheField name="Cout_Unitaire" numFmtId="164">
      <sharedItems containsSemiMixedTypes="0" containsString="0" containsNumber="1" containsInteger="1" minValue="5" maxValue="280"/>
    </cacheField>
    <cacheField name="CA Brut" numFmtId="164">
      <sharedItems containsSemiMixedTypes="0" containsString="0" containsNumber="1" containsInteger="1" minValue="35" maxValue="960"/>
    </cacheField>
    <cacheField name="CA Net" numFmtId="164">
      <sharedItems containsSemiMixedTypes="0" containsString="0" containsNumber="1" minValue="35" maxValue="864"/>
    </cacheField>
    <cacheField name="Marge totale" numFmtId="164">
      <sharedItems containsSemiMixedTypes="0" containsString="0" containsNumber="1" minValue="17" maxValue="250"/>
    </cacheField>
    <cacheField name="Jours (Date)" numFmtId="0" databaseField="0">
      <fieldGroup base="1">
        <rangePr groupBy="days" startDate="2025-01-05T00:00:00" endDate="2025-11-01T00:00:00"/>
        <groupItems count="368">
          <s v="&lt;05/01/2025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01/11/2025"/>
        </groupItems>
      </fieldGroup>
    </cacheField>
    <cacheField name="Mois (Date)" numFmtId="0" databaseField="0">
      <fieldGroup base="1">
        <rangePr groupBy="months" startDate="2025-01-05T00:00:00" endDate="2025-11-01T00:00:00"/>
        <groupItems count="14">
          <s v="&lt;05/01/202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11/2025"/>
        </groupItems>
      </fieldGroup>
    </cacheField>
  </cacheFields>
  <extLst>
    <ext xmlns:x14="http://schemas.microsoft.com/office/spreadsheetml/2009/9/main" uri="{725AE2AE-9491-48be-B2B4-4EB974FC3084}">
      <x14:pivotCacheDefinition pivotCacheId="18789380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MD-1001"/>
    <x v="0"/>
    <s v="Client_A"/>
    <x v="0"/>
    <x v="0"/>
    <x v="0"/>
    <n v="120"/>
    <n v="2"/>
    <n v="0.05"/>
    <n v="70"/>
    <n v="240"/>
    <n v="228"/>
    <n v="88"/>
  </r>
  <r>
    <s v="CMD-1002"/>
    <x v="1"/>
    <s v="Client_B"/>
    <x v="1"/>
    <x v="1"/>
    <x v="1"/>
    <n v="250"/>
    <n v="1"/>
    <n v="0"/>
    <n v="150"/>
    <n v="250"/>
    <n v="250"/>
    <n v="100"/>
  </r>
  <r>
    <s v="CMD-1003"/>
    <x v="2"/>
    <s v="Client_C"/>
    <x v="2"/>
    <x v="2"/>
    <x v="2"/>
    <n v="85"/>
    <n v="3"/>
    <n v="0.1"/>
    <n v="45"/>
    <n v="255"/>
    <n v="229.5"/>
    <n v="94.5"/>
  </r>
  <r>
    <s v="CMD-1004"/>
    <x v="3"/>
    <s v="Client_D"/>
    <x v="3"/>
    <x v="3"/>
    <x v="3"/>
    <n v="25"/>
    <n v="5"/>
    <n v="0"/>
    <n v="10"/>
    <n v="125"/>
    <n v="125"/>
    <n v="75"/>
  </r>
  <r>
    <s v="CMD-1005"/>
    <x v="4"/>
    <s v="Client_E"/>
    <x v="1"/>
    <x v="0"/>
    <x v="4"/>
    <n v="320"/>
    <n v="1"/>
    <n v="0.15"/>
    <n v="210"/>
    <n v="320"/>
    <n v="272"/>
    <n v="62"/>
  </r>
  <r>
    <s v="CMD-1006"/>
    <x v="5"/>
    <s v="Client_F"/>
    <x v="4"/>
    <x v="1"/>
    <x v="5"/>
    <n v="450"/>
    <n v="1"/>
    <n v="0.05"/>
    <n v="280"/>
    <n v="450"/>
    <n v="427.5"/>
    <n v="147.5"/>
  </r>
  <r>
    <s v="CMD-1007"/>
    <x v="6"/>
    <s v="Client_G"/>
    <x v="0"/>
    <x v="2"/>
    <x v="6"/>
    <n v="45"/>
    <n v="4"/>
    <n v="0"/>
    <n v="20"/>
    <n v="180"/>
    <n v="180"/>
    <n v="100"/>
  </r>
  <r>
    <s v="CMD-1008"/>
    <x v="7"/>
    <s v="Client_H"/>
    <x v="1"/>
    <x v="3"/>
    <x v="7"/>
    <n v="15"/>
    <n v="10"/>
    <n v="0.2"/>
    <n v="5"/>
    <n v="150"/>
    <n v="120"/>
    <n v="70"/>
  </r>
  <r>
    <s v="CMD-1009"/>
    <x v="8"/>
    <s v="Client_I"/>
    <x v="2"/>
    <x v="0"/>
    <x v="0"/>
    <n v="120"/>
    <n v="1"/>
    <n v="0"/>
    <n v="70"/>
    <n v="120"/>
    <n v="120"/>
    <n v="50"/>
  </r>
  <r>
    <s v="CMD-1010"/>
    <x v="9"/>
    <s v="Client_J"/>
    <x v="3"/>
    <x v="1"/>
    <x v="1"/>
    <n v="250"/>
    <n v="2"/>
    <n v="0.1"/>
    <n v="150"/>
    <n v="500"/>
    <n v="450"/>
    <n v="150"/>
  </r>
  <r>
    <s v="CMD-1011"/>
    <x v="10"/>
    <s v="Client_K"/>
    <x v="4"/>
    <x v="2"/>
    <x v="2"/>
    <n v="85"/>
    <n v="2"/>
    <n v="0"/>
    <n v="45"/>
    <n v="170"/>
    <n v="170"/>
    <n v="80"/>
  </r>
  <r>
    <s v="CMD-1012"/>
    <x v="11"/>
    <s v="Client_L"/>
    <x v="1"/>
    <x v="3"/>
    <x v="8"/>
    <n v="35"/>
    <n v="3"/>
    <n v="0.05"/>
    <n v="18"/>
    <n v="105"/>
    <n v="99.75"/>
    <n v="45.75"/>
  </r>
  <r>
    <s v="CMD-1013"/>
    <x v="12"/>
    <s v="Client_M"/>
    <x v="0"/>
    <x v="0"/>
    <x v="9"/>
    <n v="90"/>
    <n v="2"/>
    <n v="0.1"/>
    <n v="50"/>
    <n v="180"/>
    <n v="162"/>
    <n v="62"/>
  </r>
  <r>
    <s v="CMD-1014"/>
    <x v="13"/>
    <s v="Client_N"/>
    <x v="2"/>
    <x v="1"/>
    <x v="10"/>
    <n v="40"/>
    <n v="4"/>
    <n v="0"/>
    <n v="22"/>
    <n v="160"/>
    <n v="160"/>
    <n v="72"/>
  </r>
  <r>
    <s v="CMD-1015"/>
    <x v="14"/>
    <s v="Client_O"/>
    <x v="1"/>
    <x v="2"/>
    <x v="4"/>
    <n v="320"/>
    <n v="2"/>
    <n v="0.05"/>
    <n v="210"/>
    <n v="640"/>
    <n v="608"/>
    <n v="188"/>
  </r>
  <r>
    <s v="CMD-1016"/>
    <x v="15"/>
    <s v="Client_P"/>
    <x v="3"/>
    <x v="0"/>
    <x v="11"/>
    <n v="75"/>
    <n v="1"/>
    <n v="0"/>
    <n v="40"/>
    <n v="75"/>
    <n v="75"/>
    <n v="35"/>
  </r>
  <r>
    <s v="CMD-1017"/>
    <x v="16"/>
    <s v="Client_Q"/>
    <x v="4"/>
    <x v="3"/>
    <x v="7"/>
    <n v="15"/>
    <n v="8"/>
    <n v="0.1"/>
    <n v="5"/>
    <n v="120"/>
    <n v="108"/>
    <n v="68"/>
  </r>
  <r>
    <s v="CMD-1018"/>
    <x v="17"/>
    <s v="Client_R"/>
    <x v="0"/>
    <x v="1"/>
    <x v="5"/>
    <n v="450"/>
    <n v="1"/>
    <n v="0"/>
    <n v="280"/>
    <n v="450"/>
    <n v="450"/>
    <n v="170"/>
  </r>
  <r>
    <s v="CMD-1019"/>
    <x v="18"/>
    <s v="Client_S"/>
    <x v="1"/>
    <x v="2"/>
    <x v="6"/>
    <n v="45"/>
    <n v="5"/>
    <n v="0.15"/>
    <n v="20"/>
    <n v="225"/>
    <n v="191.25"/>
    <n v="91.25"/>
  </r>
  <r>
    <s v="CMD-1020"/>
    <x v="19"/>
    <s v="Client_T"/>
    <x v="2"/>
    <x v="0"/>
    <x v="0"/>
    <n v="120"/>
    <n v="3"/>
    <n v="0.05"/>
    <n v="70"/>
    <n v="360"/>
    <n v="342"/>
    <n v="132"/>
  </r>
  <r>
    <s v="CMD-1021"/>
    <x v="20"/>
    <s v="Client_U"/>
    <x v="3"/>
    <x v="1"/>
    <x v="1"/>
    <n v="250"/>
    <n v="1"/>
    <n v="0"/>
    <n v="150"/>
    <n v="250"/>
    <n v="250"/>
    <n v="100"/>
  </r>
  <r>
    <s v="CMD-1022"/>
    <x v="21"/>
    <s v="Client_V"/>
    <x v="4"/>
    <x v="2"/>
    <x v="2"/>
    <n v="85"/>
    <n v="1"/>
    <n v="0"/>
    <n v="45"/>
    <n v="85"/>
    <n v="85"/>
    <n v="40"/>
  </r>
  <r>
    <s v="CMD-1023"/>
    <x v="22"/>
    <s v="Client_W"/>
    <x v="1"/>
    <x v="3"/>
    <x v="3"/>
    <n v="25"/>
    <n v="6"/>
    <n v="0.1"/>
    <n v="10"/>
    <n v="150"/>
    <n v="135"/>
    <n v="75"/>
  </r>
  <r>
    <s v="CMD-1024"/>
    <x v="23"/>
    <s v="Client_X"/>
    <x v="0"/>
    <x v="0"/>
    <x v="4"/>
    <n v="320"/>
    <n v="1"/>
    <n v="0"/>
    <n v="210"/>
    <n v="320"/>
    <n v="320"/>
    <n v="110"/>
  </r>
  <r>
    <s v="CMD-1025"/>
    <x v="24"/>
    <s v="Client_Y"/>
    <x v="2"/>
    <x v="1"/>
    <x v="10"/>
    <n v="40"/>
    <n v="2"/>
    <n v="0.05"/>
    <n v="22"/>
    <n v="80"/>
    <n v="76"/>
    <n v="32"/>
  </r>
  <r>
    <s v="CMD-1026"/>
    <x v="25"/>
    <s v="Client_Z"/>
    <x v="1"/>
    <x v="2"/>
    <x v="6"/>
    <n v="45"/>
    <n v="3"/>
    <n v="0"/>
    <n v="20"/>
    <n v="135"/>
    <n v="135"/>
    <n v="75"/>
  </r>
  <r>
    <s v="CMD-1027"/>
    <x v="26"/>
    <s v="Client_A"/>
    <x v="3"/>
    <x v="3"/>
    <x v="8"/>
    <n v="35"/>
    <n v="2"/>
    <n v="0"/>
    <n v="18"/>
    <n v="70"/>
    <n v="70"/>
    <n v="34"/>
  </r>
  <r>
    <s v="CMD-1028"/>
    <x v="27"/>
    <s v="Client_B"/>
    <x v="4"/>
    <x v="0"/>
    <x v="9"/>
    <n v="90"/>
    <n v="1"/>
    <n v="0.15"/>
    <n v="50"/>
    <n v="90"/>
    <n v="76.5"/>
    <n v="26.5"/>
  </r>
  <r>
    <s v="CMD-1029"/>
    <x v="28"/>
    <s v="Client_C"/>
    <x v="0"/>
    <x v="1"/>
    <x v="5"/>
    <n v="450"/>
    <n v="2"/>
    <n v="0.1"/>
    <n v="280"/>
    <n v="900"/>
    <n v="810"/>
    <n v="250"/>
  </r>
  <r>
    <s v="CMD-1030"/>
    <x v="29"/>
    <s v="Client_D"/>
    <x v="1"/>
    <x v="2"/>
    <x v="2"/>
    <n v="85"/>
    <n v="4"/>
    <n v="0.05"/>
    <n v="45"/>
    <n v="340"/>
    <n v="323"/>
    <n v="143"/>
  </r>
  <r>
    <s v="CMD-1031"/>
    <x v="30"/>
    <s v="Client_E"/>
    <x v="2"/>
    <x v="3"/>
    <x v="7"/>
    <n v="15"/>
    <n v="12"/>
    <n v="0"/>
    <n v="5"/>
    <n v="180"/>
    <n v="180"/>
    <n v="120"/>
  </r>
  <r>
    <s v="CMD-1032"/>
    <x v="31"/>
    <s v="Client_F"/>
    <x v="3"/>
    <x v="0"/>
    <x v="0"/>
    <n v="120"/>
    <n v="2"/>
    <n v="0.1"/>
    <n v="70"/>
    <n v="240"/>
    <n v="216"/>
    <n v="76"/>
  </r>
  <r>
    <s v="CMD-1033"/>
    <x v="32"/>
    <s v="Client_G"/>
    <x v="4"/>
    <x v="1"/>
    <x v="1"/>
    <n v="250"/>
    <n v="1"/>
    <n v="0.05"/>
    <n v="150"/>
    <n v="250"/>
    <n v="237.5"/>
    <n v="87.5"/>
  </r>
  <r>
    <s v="CMD-1034"/>
    <x v="33"/>
    <s v="Client_H"/>
    <x v="0"/>
    <x v="2"/>
    <x v="4"/>
    <n v="320"/>
    <n v="2"/>
    <n v="0"/>
    <n v="210"/>
    <n v="640"/>
    <n v="640"/>
    <n v="220"/>
  </r>
  <r>
    <s v="CMD-1035"/>
    <x v="34"/>
    <s v="Client_I"/>
    <x v="1"/>
    <x v="3"/>
    <x v="3"/>
    <n v="25"/>
    <n v="4"/>
    <n v="0"/>
    <n v="10"/>
    <n v="100"/>
    <n v="100"/>
    <n v="60"/>
  </r>
  <r>
    <s v="CMD-1036"/>
    <x v="35"/>
    <s v="Client_J"/>
    <x v="2"/>
    <x v="0"/>
    <x v="11"/>
    <n v="75"/>
    <n v="3"/>
    <n v="0.15"/>
    <n v="40"/>
    <n v="225"/>
    <n v="191.25"/>
    <n v="71.25"/>
  </r>
  <r>
    <s v="CMD-1037"/>
    <x v="36"/>
    <s v="Client_K"/>
    <x v="3"/>
    <x v="1"/>
    <x v="10"/>
    <n v="40"/>
    <n v="1"/>
    <n v="0"/>
    <n v="22"/>
    <n v="40"/>
    <n v="40"/>
    <n v="18"/>
  </r>
  <r>
    <s v="CMD-1038"/>
    <x v="37"/>
    <s v="Client_L"/>
    <x v="4"/>
    <x v="2"/>
    <x v="6"/>
    <n v="45"/>
    <n v="2"/>
    <n v="0.05"/>
    <n v="20"/>
    <n v="90"/>
    <n v="85.5"/>
    <n v="45.5"/>
  </r>
  <r>
    <s v="CMD-1039"/>
    <x v="38"/>
    <s v="Client_M"/>
    <x v="0"/>
    <x v="3"/>
    <x v="8"/>
    <n v="35"/>
    <n v="5"/>
    <n v="0.1"/>
    <n v="18"/>
    <n v="175"/>
    <n v="157.5"/>
    <n v="67.5"/>
  </r>
  <r>
    <s v="CMD-1040"/>
    <x v="39"/>
    <s v="Client_N"/>
    <x v="1"/>
    <x v="0"/>
    <x v="9"/>
    <n v="90"/>
    <n v="2"/>
    <n v="0"/>
    <n v="50"/>
    <n v="180"/>
    <n v="180"/>
    <n v="80"/>
  </r>
  <r>
    <s v="CMD-1041"/>
    <x v="40"/>
    <s v="Client_O"/>
    <x v="2"/>
    <x v="1"/>
    <x v="5"/>
    <n v="450"/>
    <n v="1"/>
    <n v="0.2"/>
    <n v="280"/>
    <n v="450"/>
    <n v="360"/>
    <n v="80"/>
  </r>
  <r>
    <s v="CMD-1042"/>
    <x v="41"/>
    <s v="Client_P"/>
    <x v="3"/>
    <x v="2"/>
    <x v="2"/>
    <n v="85"/>
    <n v="3"/>
    <n v="0"/>
    <n v="45"/>
    <n v="255"/>
    <n v="255"/>
    <n v="120"/>
  </r>
  <r>
    <s v="CMD-1043"/>
    <x v="42"/>
    <s v="Client_Q"/>
    <x v="4"/>
    <x v="3"/>
    <x v="7"/>
    <n v="15"/>
    <n v="5"/>
    <n v="0"/>
    <n v="5"/>
    <n v="75"/>
    <n v="75"/>
    <n v="50"/>
  </r>
  <r>
    <s v="CMD-1044"/>
    <x v="43"/>
    <s v="Client_R"/>
    <x v="0"/>
    <x v="0"/>
    <x v="0"/>
    <n v="120"/>
    <n v="1"/>
    <n v="0.05"/>
    <n v="70"/>
    <n v="120"/>
    <n v="114"/>
    <n v="44"/>
  </r>
  <r>
    <s v="CMD-1045"/>
    <x v="44"/>
    <s v="Client_S"/>
    <x v="1"/>
    <x v="1"/>
    <x v="1"/>
    <n v="250"/>
    <n v="3"/>
    <n v="0.1"/>
    <n v="150"/>
    <n v="750"/>
    <n v="675"/>
    <n v="225"/>
  </r>
  <r>
    <s v="CMD-1046"/>
    <x v="45"/>
    <s v="Client_T"/>
    <x v="2"/>
    <x v="2"/>
    <x v="4"/>
    <n v="320"/>
    <n v="1"/>
    <n v="0"/>
    <n v="210"/>
    <n v="320"/>
    <n v="320"/>
    <n v="110"/>
  </r>
  <r>
    <s v="CMD-1047"/>
    <x v="46"/>
    <s v="Client_U"/>
    <x v="3"/>
    <x v="3"/>
    <x v="3"/>
    <n v="25"/>
    <n v="2"/>
    <n v="0"/>
    <n v="10"/>
    <n v="50"/>
    <n v="50"/>
    <n v="30"/>
  </r>
  <r>
    <s v="CMD-1048"/>
    <x v="47"/>
    <s v="Client_V"/>
    <x v="4"/>
    <x v="0"/>
    <x v="11"/>
    <n v="75"/>
    <n v="2"/>
    <n v="0.1"/>
    <n v="40"/>
    <n v="150"/>
    <n v="135"/>
    <n v="55"/>
  </r>
  <r>
    <s v="CMD-1049"/>
    <x v="48"/>
    <s v="Client_W"/>
    <x v="0"/>
    <x v="1"/>
    <x v="10"/>
    <n v="40"/>
    <n v="3"/>
    <n v="0"/>
    <n v="22"/>
    <n v="120"/>
    <n v="120"/>
    <n v="54"/>
  </r>
  <r>
    <s v="CMD-1050"/>
    <x v="49"/>
    <s v="Client_X"/>
    <x v="1"/>
    <x v="2"/>
    <x v="6"/>
    <n v="45"/>
    <n v="4"/>
    <n v="0.05"/>
    <n v="20"/>
    <n v="180"/>
    <n v="171"/>
    <n v="91"/>
  </r>
  <r>
    <s v="CMD-1051"/>
    <x v="50"/>
    <s v="Client_Y"/>
    <x v="2"/>
    <x v="3"/>
    <x v="8"/>
    <n v="35"/>
    <n v="1"/>
    <n v="0"/>
    <n v="18"/>
    <n v="35"/>
    <n v="35"/>
    <n v="17"/>
  </r>
  <r>
    <s v="CMD-1052"/>
    <x v="51"/>
    <s v="Client_Z"/>
    <x v="3"/>
    <x v="0"/>
    <x v="9"/>
    <n v="90"/>
    <n v="3"/>
    <n v="0.1"/>
    <n v="50"/>
    <n v="270"/>
    <n v="243"/>
    <n v="93"/>
  </r>
  <r>
    <s v="CMD-1053"/>
    <x v="52"/>
    <s v="Client_A"/>
    <x v="4"/>
    <x v="1"/>
    <x v="5"/>
    <n v="450"/>
    <n v="1"/>
    <n v="0"/>
    <n v="280"/>
    <n v="450"/>
    <n v="450"/>
    <n v="170"/>
  </r>
  <r>
    <s v="CMD-1054"/>
    <x v="53"/>
    <s v="Client_B"/>
    <x v="0"/>
    <x v="2"/>
    <x v="2"/>
    <n v="85"/>
    <n v="2"/>
    <n v="0.05"/>
    <n v="45"/>
    <n v="170"/>
    <n v="161.5"/>
    <n v="71.5"/>
  </r>
  <r>
    <s v="CMD-1055"/>
    <x v="54"/>
    <s v="Client_C"/>
    <x v="1"/>
    <x v="3"/>
    <x v="7"/>
    <n v="15"/>
    <n v="15"/>
    <n v="0.25"/>
    <n v="5"/>
    <n v="225"/>
    <n v="168.75"/>
    <n v="93.75"/>
  </r>
  <r>
    <s v="CMD-1056"/>
    <x v="55"/>
    <s v="Client_D"/>
    <x v="2"/>
    <x v="0"/>
    <x v="0"/>
    <n v="120"/>
    <n v="2"/>
    <n v="0"/>
    <n v="70"/>
    <n v="240"/>
    <n v="240"/>
    <n v="100"/>
  </r>
  <r>
    <s v="CMD-1057"/>
    <x v="56"/>
    <s v="Client_E"/>
    <x v="3"/>
    <x v="1"/>
    <x v="1"/>
    <n v="250"/>
    <n v="1"/>
    <n v="0.05"/>
    <n v="150"/>
    <n v="250"/>
    <n v="237.5"/>
    <n v="87.5"/>
  </r>
  <r>
    <s v="CMD-1058"/>
    <x v="57"/>
    <s v="Client_F"/>
    <x v="4"/>
    <x v="2"/>
    <x v="4"/>
    <n v="320"/>
    <n v="2"/>
    <n v="0.1"/>
    <n v="210"/>
    <n v="640"/>
    <n v="576"/>
    <n v="156"/>
  </r>
  <r>
    <s v="CMD-1059"/>
    <x v="58"/>
    <s v="Client_G"/>
    <x v="0"/>
    <x v="3"/>
    <x v="3"/>
    <n v="25"/>
    <n v="3"/>
    <n v="0"/>
    <n v="10"/>
    <n v="75"/>
    <n v="75"/>
    <n v="45"/>
  </r>
  <r>
    <s v="CMD-1060"/>
    <x v="59"/>
    <s v="Client_H"/>
    <x v="1"/>
    <x v="0"/>
    <x v="11"/>
    <n v="75"/>
    <n v="1"/>
    <n v="0"/>
    <n v="40"/>
    <n v="75"/>
    <n v="75"/>
    <n v="35"/>
  </r>
  <r>
    <s v="CMD-1061"/>
    <x v="60"/>
    <s v="Client_I"/>
    <x v="2"/>
    <x v="1"/>
    <x v="10"/>
    <n v="40"/>
    <n v="2"/>
    <n v="0.05"/>
    <n v="22"/>
    <n v="80"/>
    <n v="76"/>
    <n v="32"/>
  </r>
  <r>
    <s v="CMD-1062"/>
    <x v="61"/>
    <s v="Client_J"/>
    <x v="3"/>
    <x v="2"/>
    <x v="6"/>
    <n v="45"/>
    <n v="6"/>
    <n v="0.1"/>
    <n v="20"/>
    <n v="270"/>
    <n v="243"/>
    <n v="123"/>
  </r>
  <r>
    <s v="CMD-1063"/>
    <x v="62"/>
    <s v="Client_K"/>
    <x v="4"/>
    <x v="3"/>
    <x v="8"/>
    <n v="35"/>
    <n v="4"/>
    <n v="0"/>
    <n v="18"/>
    <n v="140"/>
    <n v="140"/>
    <n v="68"/>
  </r>
  <r>
    <s v="CMD-1064"/>
    <x v="63"/>
    <s v="Client_L"/>
    <x v="0"/>
    <x v="0"/>
    <x v="9"/>
    <n v="90"/>
    <n v="1"/>
    <n v="0"/>
    <n v="50"/>
    <n v="90"/>
    <n v="90"/>
    <n v="40"/>
  </r>
  <r>
    <s v="CMD-1065"/>
    <x v="64"/>
    <s v="Client_M"/>
    <x v="1"/>
    <x v="1"/>
    <x v="5"/>
    <n v="450"/>
    <n v="2"/>
    <n v="0.15"/>
    <n v="280"/>
    <n v="900"/>
    <n v="765"/>
    <n v="205"/>
  </r>
  <r>
    <s v="CMD-1066"/>
    <x v="65"/>
    <s v="Client_N"/>
    <x v="2"/>
    <x v="2"/>
    <x v="2"/>
    <n v="85"/>
    <n v="1"/>
    <n v="0"/>
    <n v="45"/>
    <n v="85"/>
    <n v="85"/>
    <n v="40"/>
  </r>
  <r>
    <s v="CMD-1067"/>
    <x v="66"/>
    <s v="Client_O"/>
    <x v="3"/>
    <x v="3"/>
    <x v="7"/>
    <n v="15"/>
    <n v="6"/>
    <n v="0"/>
    <n v="5"/>
    <n v="90"/>
    <n v="90"/>
    <n v="60"/>
  </r>
  <r>
    <s v="CMD-1068"/>
    <x v="67"/>
    <s v="Client_P"/>
    <x v="4"/>
    <x v="0"/>
    <x v="0"/>
    <n v="120"/>
    <n v="3"/>
    <n v="0.1"/>
    <n v="70"/>
    <n v="360"/>
    <n v="324"/>
    <n v="114"/>
  </r>
  <r>
    <s v="CMD-1069"/>
    <x v="68"/>
    <s v="Client_Q"/>
    <x v="0"/>
    <x v="1"/>
    <x v="1"/>
    <n v="250"/>
    <n v="2"/>
    <n v="0"/>
    <n v="150"/>
    <n v="500"/>
    <n v="500"/>
    <n v="200"/>
  </r>
  <r>
    <s v="CMD-1070"/>
    <x v="69"/>
    <s v="Client_R"/>
    <x v="1"/>
    <x v="2"/>
    <x v="4"/>
    <n v="320"/>
    <n v="1"/>
    <n v="0.05"/>
    <n v="210"/>
    <n v="320"/>
    <n v="304"/>
    <n v="94"/>
  </r>
  <r>
    <s v="CMD-1071"/>
    <x v="70"/>
    <s v="Client_S"/>
    <x v="2"/>
    <x v="3"/>
    <x v="3"/>
    <n v="25"/>
    <n v="5"/>
    <n v="0"/>
    <n v="10"/>
    <n v="125"/>
    <n v="125"/>
    <n v="75"/>
  </r>
  <r>
    <s v="CMD-1072"/>
    <x v="71"/>
    <s v="Client_T"/>
    <x v="3"/>
    <x v="0"/>
    <x v="11"/>
    <n v="75"/>
    <n v="2"/>
    <n v="0.05"/>
    <n v="40"/>
    <n v="150"/>
    <n v="142.5"/>
    <n v="62.5"/>
  </r>
  <r>
    <s v="CMD-1073"/>
    <x v="72"/>
    <s v="Client_U"/>
    <x v="4"/>
    <x v="1"/>
    <x v="10"/>
    <n v="40"/>
    <n v="1"/>
    <n v="0"/>
    <n v="22"/>
    <n v="40"/>
    <n v="40"/>
    <n v="18"/>
  </r>
  <r>
    <s v="CMD-1074"/>
    <x v="73"/>
    <s v="Client_V"/>
    <x v="0"/>
    <x v="2"/>
    <x v="6"/>
    <n v="45"/>
    <n v="3"/>
    <n v="0"/>
    <n v="20"/>
    <n v="135"/>
    <n v="135"/>
    <n v="75"/>
  </r>
  <r>
    <s v="CMD-1075"/>
    <x v="74"/>
    <s v="Client_W"/>
    <x v="1"/>
    <x v="3"/>
    <x v="8"/>
    <n v="35"/>
    <n v="2"/>
    <n v="0.1"/>
    <n v="18"/>
    <n v="70"/>
    <n v="63"/>
    <n v="27"/>
  </r>
  <r>
    <s v="CMD-1076"/>
    <x v="75"/>
    <s v="Client_X"/>
    <x v="2"/>
    <x v="0"/>
    <x v="9"/>
    <n v="90"/>
    <n v="2"/>
    <n v="0"/>
    <n v="50"/>
    <n v="180"/>
    <n v="180"/>
    <n v="80"/>
  </r>
  <r>
    <s v="CMD-1077"/>
    <x v="76"/>
    <s v="Client_Y"/>
    <x v="3"/>
    <x v="1"/>
    <x v="5"/>
    <n v="450"/>
    <n v="1"/>
    <n v="0.05"/>
    <n v="280"/>
    <n v="450"/>
    <n v="427.5"/>
    <n v="147.5"/>
  </r>
  <r>
    <s v="CMD-1078"/>
    <x v="77"/>
    <s v="Client_Z"/>
    <x v="4"/>
    <x v="2"/>
    <x v="2"/>
    <n v="85"/>
    <n v="4"/>
    <n v="0.15"/>
    <n v="45"/>
    <n v="340"/>
    <n v="289"/>
    <n v="109"/>
  </r>
  <r>
    <s v="CMD-1079"/>
    <x v="78"/>
    <s v="Client_A"/>
    <x v="0"/>
    <x v="3"/>
    <x v="7"/>
    <n v="15"/>
    <n v="10"/>
    <n v="0"/>
    <n v="5"/>
    <n v="150"/>
    <n v="150"/>
    <n v="100"/>
  </r>
  <r>
    <s v="CMD-1080"/>
    <x v="79"/>
    <s v="Client_B"/>
    <x v="1"/>
    <x v="0"/>
    <x v="0"/>
    <n v="120"/>
    <n v="1"/>
    <n v="0"/>
    <n v="70"/>
    <n v="120"/>
    <n v="120"/>
    <n v="50"/>
  </r>
  <r>
    <s v="CMD-1081"/>
    <x v="80"/>
    <s v="Client_C"/>
    <x v="2"/>
    <x v="1"/>
    <x v="1"/>
    <n v="250"/>
    <n v="1"/>
    <n v="0.1"/>
    <n v="150"/>
    <n v="250"/>
    <n v="225"/>
    <n v="75"/>
  </r>
  <r>
    <s v="CMD-1082"/>
    <x v="81"/>
    <s v="Client_D"/>
    <x v="3"/>
    <x v="2"/>
    <x v="4"/>
    <n v="320"/>
    <n v="3"/>
    <n v="0.1"/>
    <n v="210"/>
    <n v="960"/>
    <n v="864"/>
    <n v="234"/>
  </r>
  <r>
    <s v="CMD-1083"/>
    <x v="82"/>
    <s v="Client_E"/>
    <x v="4"/>
    <x v="3"/>
    <x v="3"/>
    <n v="25"/>
    <n v="2"/>
    <n v="0"/>
    <n v="10"/>
    <n v="50"/>
    <n v="50"/>
    <n v="30"/>
  </r>
  <r>
    <s v="CMD-1084"/>
    <x v="83"/>
    <s v="Client_F"/>
    <x v="0"/>
    <x v="0"/>
    <x v="11"/>
    <n v="75"/>
    <n v="1"/>
    <n v="0"/>
    <n v="40"/>
    <n v="75"/>
    <n v="75"/>
    <n v="35"/>
  </r>
  <r>
    <s v="CMD-1085"/>
    <x v="84"/>
    <s v="Client_G"/>
    <x v="1"/>
    <x v="1"/>
    <x v="10"/>
    <n v="40"/>
    <n v="4"/>
    <n v="0.15"/>
    <n v="22"/>
    <n v="160"/>
    <n v="136"/>
    <n v="48"/>
  </r>
  <r>
    <s v="CMD-1086"/>
    <x v="85"/>
    <s v="Client_H"/>
    <x v="2"/>
    <x v="2"/>
    <x v="6"/>
    <n v="45"/>
    <n v="2"/>
    <n v="0"/>
    <n v="20"/>
    <n v="90"/>
    <n v="90"/>
    <n v="50"/>
  </r>
  <r>
    <s v="CMD-1087"/>
    <x v="86"/>
    <s v="Client_I"/>
    <x v="3"/>
    <x v="3"/>
    <x v="8"/>
    <n v="35"/>
    <n v="3"/>
    <n v="0.05"/>
    <n v="18"/>
    <n v="105"/>
    <n v="99.75"/>
    <n v="45.75"/>
  </r>
  <r>
    <s v="CMD-1088"/>
    <x v="87"/>
    <s v="Client_J"/>
    <x v="4"/>
    <x v="0"/>
    <x v="9"/>
    <n v="90"/>
    <n v="1"/>
    <n v="0"/>
    <n v="50"/>
    <n v="90"/>
    <n v="90"/>
    <n v="40"/>
  </r>
  <r>
    <s v="CMD-1089"/>
    <x v="88"/>
    <s v="Client_K"/>
    <x v="0"/>
    <x v="1"/>
    <x v="5"/>
    <n v="450"/>
    <n v="1"/>
    <n v="0"/>
    <n v="280"/>
    <n v="450"/>
    <n v="450"/>
    <n v="170"/>
  </r>
  <r>
    <s v="CMD-1090"/>
    <x v="89"/>
    <s v="Client_L"/>
    <x v="1"/>
    <x v="2"/>
    <x v="2"/>
    <n v="85"/>
    <n v="2"/>
    <n v="0.1"/>
    <n v="45"/>
    <n v="170"/>
    <n v="153"/>
    <n v="63"/>
  </r>
  <r>
    <s v="CMD-1091"/>
    <x v="90"/>
    <s v="Client_M"/>
    <x v="2"/>
    <x v="3"/>
    <x v="7"/>
    <n v="15"/>
    <n v="8"/>
    <n v="0"/>
    <n v="5"/>
    <n v="120"/>
    <n v="120"/>
    <n v="80"/>
  </r>
  <r>
    <s v="CMD-1092"/>
    <x v="91"/>
    <s v="Client_N"/>
    <x v="3"/>
    <x v="0"/>
    <x v="0"/>
    <n v="120"/>
    <n v="2"/>
    <n v="0.05"/>
    <n v="70"/>
    <n v="240"/>
    <n v="228"/>
    <n v="88"/>
  </r>
  <r>
    <s v="CMD-1093"/>
    <x v="92"/>
    <s v="Client_O"/>
    <x v="4"/>
    <x v="1"/>
    <x v="1"/>
    <n v="250"/>
    <n v="2"/>
    <n v="0"/>
    <n v="150"/>
    <n v="500"/>
    <n v="500"/>
    <n v="200"/>
  </r>
  <r>
    <s v="CMD-1094"/>
    <x v="93"/>
    <s v="Client_P"/>
    <x v="0"/>
    <x v="2"/>
    <x v="4"/>
    <n v="320"/>
    <n v="1"/>
    <n v="0"/>
    <n v="210"/>
    <n v="320"/>
    <n v="320"/>
    <n v="110"/>
  </r>
  <r>
    <s v="CMD-1095"/>
    <x v="94"/>
    <s v="Client_Q"/>
    <x v="1"/>
    <x v="3"/>
    <x v="3"/>
    <n v="25"/>
    <n v="3"/>
    <n v="0.05"/>
    <n v="10"/>
    <n v="75"/>
    <n v="71.25"/>
    <n v="41.25"/>
  </r>
  <r>
    <s v="CMD-1096"/>
    <x v="95"/>
    <s v="Client_R"/>
    <x v="2"/>
    <x v="0"/>
    <x v="11"/>
    <n v="75"/>
    <n v="4"/>
    <n v="0.1"/>
    <n v="40"/>
    <n v="300"/>
    <n v="270"/>
    <n v="110"/>
  </r>
  <r>
    <s v="CMD-1097"/>
    <x v="96"/>
    <s v="Client_S"/>
    <x v="3"/>
    <x v="1"/>
    <x v="10"/>
    <n v="40"/>
    <n v="2"/>
    <n v="0"/>
    <n v="22"/>
    <n v="80"/>
    <n v="80"/>
    <n v="36"/>
  </r>
  <r>
    <s v="CMD-1098"/>
    <x v="97"/>
    <s v="Client_T"/>
    <x v="4"/>
    <x v="2"/>
    <x v="6"/>
    <n v="45"/>
    <n v="1"/>
    <n v="0"/>
    <n v="20"/>
    <n v="45"/>
    <n v="45"/>
    <n v="25"/>
  </r>
  <r>
    <s v="CMD-1099"/>
    <x v="98"/>
    <s v="Client_U"/>
    <x v="0"/>
    <x v="3"/>
    <x v="8"/>
    <n v="35"/>
    <n v="2"/>
    <n v="0"/>
    <n v="18"/>
    <n v="70"/>
    <n v="70"/>
    <n v="34"/>
  </r>
  <r>
    <s v="CMD-1100"/>
    <x v="99"/>
    <s v="Client_V"/>
    <x v="1"/>
    <x v="0"/>
    <x v="9"/>
    <n v="90"/>
    <n v="3"/>
    <n v="0.15"/>
    <n v="50"/>
    <n v="270"/>
    <n v="229.5"/>
    <n v="79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AA6F50-3AE5-453C-BACE-72AF15CB574E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 rowHeaderCaption="Régions">
  <location ref="A3:C9" firstHeaderRow="0" firstDataRow="1" firstDataCol="1"/>
  <pivotFields count="15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>
      <items count="8">
        <item x="3"/>
        <item x="2"/>
        <item m="1" x="6"/>
        <item m="1" x="5"/>
        <item x="4"/>
        <item x="0"/>
        <item x="1"/>
        <item t="default"/>
      </items>
    </pivotField>
    <pivotField showAll="0">
      <items count="6">
        <item m="1" x="4"/>
        <item x="3"/>
        <item x="0"/>
        <item x="2"/>
        <item x="1"/>
        <item t="default"/>
      </items>
    </pivotField>
    <pivotField showAll="0">
      <items count="16">
        <item h="1" m="1" x="13"/>
        <item x="5"/>
        <item h="1" m="1" x="14"/>
        <item x="7"/>
        <item x="0"/>
        <item x="1"/>
        <item h="1" m="1" x="12"/>
        <item x="2"/>
        <item x="4"/>
        <item x="11"/>
        <item x="10"/>
        <item x="6"/>
        <item x="8"/>
        <item x="3"/>
        <item x="9"/>
        <item t="default"/>
      </items>
    </pivotField>
    <pivotField numFmtId="164" showAll="0"/>
    <pivotField showAll="0"/>
    <pivotField numFmtId="9" showAll="0"/>
    <pivotField numFmtId="164" showAll="0"/>
    <pivotField numFmtId="164" showAll="0"/>
    <pivotField dataField="1" numFmtId="164" showAll="0"/>
    <pivotField dataField="1" numFmtId="16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/>
    </i>
    <i>
      <x v="1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CA Net" fld="11" baseField="0" baseItem="0" numFmtId="164"/>
    <dataField name="Somme de Marge totale" fld="12" baseField="0" baseItem="0" numFmtId="164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" type="button" dataOnly="0" labelOnly="1" outline="0" axis="axisRow" fieldPosition="0"/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DB4E64-41CB-48A3-85D6-4B51EF52C8AD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 rowHeaderCaption="Produits">
  <location ref="A25:B38" firstHeaderRow="1" firstDataRow="1" firstDataCol="1"/>
  <pivotFields count="15">
    <pivotField showAll="0"/>
    <pivotField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>
      <items count="8">
        <item x="3"/>
        <item x="2"/>
        <item m="1" x="6"/>
        <item x="1"/>
        <item m="1" x="5"/>
        <item x="0"/>
        <item x="4"/>
        <item t="default"/>
      </items>
    </pivotField>
    <pivotField showAll="0">
      <items count="6">
        <item m="1" x="4"/>
        <item x="3"/>
        <item x="0"/>
        <item x="2"/>
        <item x="1"/>
        <item t="default"/>
      </items>
    </pivotField>
    <pivotField axis="axisRow" showAll="0" sortType="descending">
      <items count="16">
        <item h="1" m="1" x="13"/>
        <item x="5"/>
        <item h="1" m="1" x="14"/>
        <item x="0"/>
        <item x="1"/>
        <item h="1" m="1" x="12"/>
        <item x="11"/>
        <item x="10"/>
        <item x="6"/>
        <item x="8"/>
        <item x="3"/>
        <item x="9"/>
        <item x="2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numFmtId="9" showAll="0"/>
    <pivotField numFmtId="164" showAll="0"/>
    <pivotField numFmtId="164" showAll="0"/>
    <pivotField numFmtId="164" showAll="0"/>
    <pivotField dataField="1" numFmtId="164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13">
    <i>
      <x v="1"/>
    </i>
    <i>
      <x v="13"/>
    </i>
    <i>
      <x v="4"/>
    </i>
    <i>
      <x v="12"/>
    </i>
    <i>
      <x v="3"/>
    </i>
    <i>
      <x v="8"/>
    </i>
    <i>
      <x v="14"/>
    </i>
    <i>
      <x v="11"/>
    </i>
    <i>
      <x v="10"/>
    </i>
    <i>
      <x v="6"/>
    </i>
    <i>
      <x v="9"/>
    </i>
    <i>
      <x v="7"/>
    </i>
    <i t="grand">
      <x/>
    </i>
  </rowItems>
  <colItems count="1">
    <i/>
  </colItems>
  <dataFields count="1">
    <dataField name="Somme de Marge totale" fld="12" baseField="0" baseItem="0" numFmtId="164"/>
  </dataFields>
  <formats count="18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5" type="button" dataOnly="0" labelOnly="1" outline="0" axis="axisRow" fieldPosition="0"/>
    </format>
    <format dxfId="26">
      <pivotArea dataOnly="0" labelOnly="1" fieldPosition="0">
        <references count="1">
          <reference field="5" count="5">
            <x v="0"/>
            <x v="1"/>
            <x v="3"/>
            <x v="4"/>
            <x v="5"/>
          </reference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5" type="button" dataOnly="0" labelOnly="1" outline="0" axis="axisRow" fieldPosition="0"/>
    </format>
    <format dxfId="20">
      <pivotArea dataOnly="0" labelOnly="1" fieldPosition="0">
        <references count="1">
          <reference field="5" count="5">
            <x v="0"/>
            <x v="1"/>
            <x v="3"/>
            <x v="4"/>
            <x v="5"/>
          </reference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5" type="button" dataOnly="0" labelOnly="1" outline="0" axis="axisRow" fieldPosition="0"/>
    </format>
    <format dxfId="14">
      <pivotArea dataOnly="0" labelOnly="1" fieldPosition="0">
        <references count="1">
          <reference field="5" count="5">
            <x v="0"/>
            <x v="1"/>
            <x v="3"/>
            <x v="4"/>
            <x v="5"/>
          </reference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4F954-DA59-446C-857F-77E6FF52DBAA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 rowHeaderCaption="Catégorie Produit" colHeaderCaption="Mois/Jours">
  <location ref="A14:L22" firstHeaderRow="1" firstDataRow="4" firstDataCol="1"/>
  <pivotFields count="15">
    <pivotField showAll="0"/>
    <pivotField axis="axisCol" numFmtId="14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>
      <items count="8">
        <item x="3"/>
        <item x="2"/>
        <item m="1" x="6"/>
        <item x="1"/>
        <item m="1" x="5"/>
        <item x="0"/>
        <item x="4"/>
        <item t="default"/>
      </items>
    </pivotField>
    <pivotField axis="axisRow" showAll="0" sortType="descending">
      <items count="6">
        <item m="1"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6">
        <item h="1" m="1" x="13"/>
        <item x="5"/>
        <item h="1" m="1" x="14"/>
        <item x="7"/>
        <item x="0"/>
        <item x="1"/>
        <item h="1" m="1" x="12"/>
        <item x="2"/>
        <item x="4"/>
        <item x="11"/>
        <item x="10"/>
        <item x="6"/>
        <item x="8"/>
        <item x="3"/>
        <item x="9"/>
        <item t="default"/>
      </items>
    </pivotField>
    <pivotField numFmtId="164" showAll="0"/>
    <pivotField showAll="0"/>
    <pivotField numFmtId="9" showAll="0"/>
    <pivotField numFmtId="164" showAll="0"/>
    <pivotField numFmtId="164" showAll="0"/>
    <pivotField dataField="1" numFmtId="164" showAll="0"/>
    <pivotField numFmtId="164"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5">
    <i>
      <x v="3"/>
    </i>
    <i>
      <x v="2"/>
    </i>
    <i>
      <x v="4"/>
    </i>
    <i>
      <x v="1"/>
    </i>
    <i t="grand">
      <x/>
    </i>
  </rowItems>
  <colFields count="3">
    <field x="14"/>
    <field x="13"/>
    <field x="1"/>
  </colFields>
  <col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omme de CA Net" fld="11" baseField="0" baseItem="0" numFmtId="164"/>
  </dataFields>
  <formats count="18">
    <format dxfId="47">
      <pivotArea outline="0" collapsedLevelsAreSubtotals="1" fieldPosition="0"/>
    </format>
    <format dxfId="46">
      <pivotArea dataOnly="0" labelOnly="1" fieldPosition="0">
        <references count="1">
          <reference field="14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5">
      <pivotArea dataOnly="0" labelOnly="1" grandCol="1" outline="0" fieldPosition="0"/>
    </format>
    <format dxfId="44">
      <pivotArea outline="0" collapsedLevelsAreSubtotals="1" fieldPosition="0"/>
    </format>
    <format dxfId="43">
      <pivotArea dataOnly="0" labelOnly="1" fieldPosition="0">
        <references count="1">
          <reference field="14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42">
      <pivotArea dataOnly="0" labelOnly="1" grandCol="1" outline="0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14" type="button" dataOnly="0" labelOnly="1" outline="0" axis="axisCol" fieldPosition="0"/>
    </format>
    <format dxfId="37">
      <pivotArea field="13" type="button" dataOnly="0" labelOnly="1" outline="0" axis="axisCol" fieldPosition="1"/>
    </format>
    <format dxfId="36">
      <pivotArea field="1" type="button" dataOnly="0" labelOnly="1" outline="0" axis="axisCol" fieldPosition="2"/>
    </format>
    <format dxfId="35">
      <pivotArea type="topRight" dataOnly="0" labelOnly="1" outline="0" fieldPosition="0"/>
    </format>
    <format dxfId="34">
      <pivotArea field="4" type="button" dataOnly="0" labelOnly="1" outline="0" axis="axisRow" fieldPosition="0"/>
    </format>
    <format dxfId="33">
      <pivotArea dataOnly="0" labelOnly="1" fieldPosition="0">
        <references count="1">
          <reference field="4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14" count="1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0">
      <pivotArea dataOnly="0" labelOnly="1" grandCol="1" outline="0" fieldPosition="0"/>
    </format>
  </format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2EF2F035-8884-43BD-86C5-5938892FBF04}" sourceName="Region">
  <pivotTables>
    <pivotTable tabId="2" name="Tableau croisé dynamique3"/>
    <pivotTable tabId="2" name="Tableau croisé dynamique1"/>
    <pivotTable tabId="2" name="Tableau croisé dynamique2"/>
  </pivotTables>
  <data>
    <tabular pivotCacheId="1878938077">
      <items count="7">
        <i x="3" s="1"/>
        <i x="2" s="1"/>
        <i x="1" s="1"/>
        <i x="0" s="1"/>
        <i x="4" s="1"/>
        <i x="6" s="1" nd="1"/>
        <i x="5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roduit" xr10:uid="{074C2190-66C0-4050-B04C-200672EBE9E6}" sourceName="Produit">
  <pivotTables>
    <pivotTable tabId="2" name="Tableau croisé dynamique2"/>
    <pivotTable tabId="2" name="Tableau croisé dynamique1"/>
    <pivotTable tabId="2" name="Tableau croisé dynamique3"/>
  </pivotTables>
  <data>
    <tabular pivotCacheId="1878938077">
      <items count="15">
        <i x="5" s="1"/>
        <i x="7" s="1"/>
        <i x="0" s="1"/>
        <i x="1" s="1"/>
        <i x="2" s="1"/>
        <i x="4" s="1"/>
        <i x="11" s="1"/>
        <i x="10" s="1"/>
        <i x="6" s="1"/>
        <i x="8" s="1"/>
        <i x="3" s="1"/>
        <i x="9" s="1"/>
        <i x="13" nd="1"/>
        <i x="14" nd="1"/>
        <i x="12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egorie_Produit" xr10:uid="{8EE539AE-61B9-4F6D-875A-168AC59A509C}" sourceName="Categorie_Produit">
  <pivotTables>
    <pivotTable tabId="2" name="Tableau croisé dynamique2"/>
    <pivotTable tabId="2" name="Tableau croisé dynamique1"/>
    <pivotTable tabId="2" name="Tableau croisé dynamique3"/>
  </pivotTables>
  <data>
    <tabular pivotCacheId="1878938077">
      <items count="5">
        <i x="3" s="1"/>
        <i x="0" s="1"/>
        <i x="2" s="1"/>
        <i x="1" s="1"/>
        <i x="4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9DE237B0-D191-4CAE-9314-1E0612E79A8C}" cache="Segment_Region" caption="Region" rowHeight="241300"/>
  <slicer name="Produit" xr10:uid="{9DBCDD73-9EFD-47E3-A341-B76B40070715}" cache="Segment_Produit" caption="Produit" rowHeight="241300"/>
  <slicer name="Categorie_Produit" xr10:uid="{CD0F982B-876F-4722-B4D8-8A3F08D50B3A}" cache="Segment_Categorie_Produit" caption="Categorie_Produit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5B7696-AFF6-46EF-B5EF-FCDA05DB0FEC}" name="VenteRetails" displayName="VenteRetails" ref="A1:M101" totalsRowShown="0">
  <autoFilter ref="A1:M101" xr:uid="{265B7696-AFF6-46EF-B5EF-FCDA05DB0FEC}"/>
  <tableColumns count="13">
    <tableColumn id="1" xr3:uid="{490EBA61-DF94-41C5-BE2F-D630A8FF75A8}" name="ID_Commande"/>
    <tableColumn id="2" xr3:uid="{9C0E4F54-4672-4961-89A9-C0D3980D13F3}" name="Date" dataDxfId="53"/>
    <tableColumn id="3" xr3:uid="{4B932606-5906-4DD7-8356-FC231D2E6656}" name="Client"/>
    <tableColumn id="4" xr3:uid="{275C22BF-9B97-409D-AF7B-20A695BBF79C}" name="Region"/>
    <tableColumn id="5" xr3:uid="{CB9F7D89-C31A-498E-AFC7-F4B5EED5AFE6}" name="Categorie_Produit"/>
    <tableColumn id="6" xr3:uid="{98997ABE-4874-41BE-A075-4D0C1E948CED}" name="Produit"/>
    <tableColumn id="7" xr3:uid="{7D78D272-7EF8-4378-9208-9FA15FC3C025}" name="Prix_Unitaire" dataDxfId="52"/>
    <tableColumn id="8" xr3:uid="{B3C2F9AD-997C-41D5-A652-9FB2D9C0A863}" name="Quantite"/>
    <tableColumn id="9" xr3:uid="{54073DC8-71C0-4B70-AC26-DA60EE75F004}" name="Remise" dataCellStyle="Pourcentage"/>
    <tableColumn id="10" xr3:uid="{C3EBA743-6301-4C24-A95C-BA3C5FC5CCD5}" name="Cout_Unitaire" dataDxfId="51"/>
    <tableColumn id="11" xr3:uid="{33FA79DA-46FD-4871-BE03-9AC0E8D304F6}" name="CA Brut" dataDxfId="50">
      <calculatedColumnFormula>VenteRetails[[#This Row],[Prix_Unitaire]]*VenteRetails[[#This Row],[Quantite]]</calculatedColumnFormula>
    </tableColumn>
    <tableColumn id="12" xr3:uid="{9C19FDEE-8227-4035-A730-33096F1C1E67}" name="CA Net" dataDxfId="49">
      <calculatedColumnFormula>VenteRetails[[#This Row],[Prix_Unitaire]]*VenteRetails[[#This Row],[Quantite]]*(1-VenteRetails[[#This Row],[Remise]])</calculatedColumnFormula>
    </tableColumn>
    <tableColumn id="14" xr3:uid="{E98B4A2E-982D-469E-8FFD-C634D70BB065}" name="Marge totale" dataDxfId="48">
      <calculatedColumnFormula>VenteRetails[[#This Row],[CA Net]]-(VenteRetails[[#This Row],[Cout_Unitaire]]*VenteRetails[[#This Row],[Quantite]])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2502-B50D-43BF-B88B-78327D701FDA}">
  <dimension ref="A1:M158"/>
  <sheetViews>
    <sheetView topLeftCell="E1" workbookViewId="0">
      <selection activeCell="N8" sqref="N8"/>
    </sheetView>
  </sheetViews>
  <sheetFormatPr baseColWidth="10" defaultRowHeight="15" x14ac:dyDescent="0.25"/>
  <cols>
    <col min="1" max="1" width="16.140625" customWidth="1"/>
    <col min="2" max="2" width="10.7109375" style="1" bestFit="1" customWidth="1"/>
    <col min="3" max="3" width="9.140625" bestFit="1" customWidth="1"/>
    <col min="4" max="4" width="11.28515625" bestFit="1" customWidth="1"/>
    <col min="5" max="5" width="19.28515625" customWidth="1"/>
    <col min="6" max="6" width="19.5703125" bestFit="1" customWidth="1"/>
    <col min="7" max="7" width="14.7109375" style="2" customWidth="1"/>
    <col min="8" max="8" width="11" customWidth="1"/>
    <col min="9" max="9" width="9.7109375" style="3" customWidth="1"/>
    <col min="10" max="10" width="15.42578125" style="2" customWidth="1"/>
    <col min="11" max="11" width="11.42578125" style="13"/>
    <col min="12" max="12" width="13.7109375" style="13" customWidth="1"/>
    <col min="13" max="13" width="14.7109375" style="13" bestFit="1" customWidth="1"/>
  </cols>
  <sheetData>
    <row r="1" spans="1:13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s="3" t="s">
        <v>8</v>
      </c>
      <c r="J1" s="2" t="s">
        <v>9</v>
      </c>
      <c r="K1" s="13" t="s">
        <v>151</v>
      </c>
      <c r="L1" s="13" t="s">
        <v>152</v>
      </c>
      <c r="M1" s="13" t="s">
        <v>153</v>
      </c>
    </row>
    <row r="2" spans="1:13" x14ac:dyDescent="0.25">
      <c r="A2" t="s">
        <v>10</v>
      </c>
      <c r="B2" s="1">
        <v>45662</v>
      </c>
      <c r="C2" t="s">
        <v>11</v>
      </c>
      <c r="D2" t="s">
        <v>167</v>
      </c>
      <c r="E2" t="s">
        <v>169</v>
      </c>
      <c r="F2" t="s">
        <v>12</v>
      </c>
      <c r="G2" s="2">
        <v>120</v>
      </c>
      <c r="H2">
        <v>2</v>
      </c>
      <c r="I2" s="3">
        <v>0.05</v>
      </c>
      <c r="J2" s="2">
        <v>70</v>
      </c>
      <c r="K2" s="13">
        <f>VenteRetails[[#This Row],[Prix_Unitaire]]*VenteRetails[[#This Row],[Quantite]]</f>
        <v>240</v>
      </c>
      <c r="L2" s="13">
        <f>VenteRetails[[#This Row],[Prix_Unitaire]]*VenteRetails[[#This Row],[Quantite]]*(1-VenteRetails[[#This Row],[Remise]])</f>
        <v>228</v>
      </c>
      <c r="M2" s="13">
        <f>VenteRetails[[#This Row],[CA Net]]-(VenteRetails[[#This Row],[Cout_Unitaire]]*VenteRetails[[#This Row],[Quantite]])</f>
        <v>88</v>
      </c>
    </row>
    <row r="3" spans="1:13" x14ac:dyDescent="0.25">
      <c r="A3" t="s">
        <v>13</v>
      </c>
      <c r="B3" s="1">
        <v>45663</v>
      </c>
      <c r="C3" t="s">
        <v>14</v>
      </c>
      <c r="D3" t="s">
        <v>168</v>
      </c>
      <c r="E3" t="s">
        <v>15</v>
      </c>
      <c r="F3" t="s">
        <v>16</v>
      </c>
      <c r="G3" s="2">
        <v>250</v>
      </c>
      <c r="H3">
        <v>1</v>
      </c>
      <c r="I3" s="3">
        <v>0</v>
      </c>
      <c r="J3" s="2">
        <v>150</v>
      </c>
      <c r="K3" s="13">
        <f>VenteRetails[[#This Row],[Prix_Unitaire]]*VenteRetails[[#This Row],[Quantite]]</f>
        <v>250</v>
      </c>
      <c r="L3" s="13">
        <f>VenteRetails[[#This Row],[Prix_Unitaire]]*VenteRetails[[#This Row],[Quantite]]*(1-VenteRetails[[#This Row],[Remise]])</f>
        <v>250</v>
      </c>
      <c r="M3" s="13">
        <f>VenteRetails[[#This Row],[CA Net]]-(VenteRetails[[#This Row],[Cout_Unitaire]]*VenteRetails[[#This Row],[Quantite]])</f>
        <v>100</v>
      </c>
    </row>
    <row r="4" spans="1:13" x14ac:dyDescent="0.25">
      <c r="A4" t="s">
        <v>17</v>
      </c>
      <c r="B4" s="1">
        <v>45665</v>
      </c>
      <c r="C4" t="s">
        <v>18</v>
      </c>
      <c r="D4" t="s">
        <v>19</v>
      </c>
      <c r="E4" t="s">
        <v>20</v>
      </c>
      <c r="F4" t="s">
        <v>170</v>
      </c>
      <c r="G4" s="2">
        <v>85</v>
      </c>
      <c r="H4">
        <v>3</v>
      </c>
      <c r="I4" s="3">
        <v>0.1</v>
      </c>
      <c r="J4" s="2">
        <v>45</v>
      </c>
      <c r="K4" s="13">
        <f>VenteRetails[[#This Row],[Prix_Unitaire]]*VenteRetails[[#This Row],[Quantite]]</f>
        <v>255</v>
      </c>
      <c r="L4" s="13">
        <f>VenteRetails[[#This Row],[Prix_Unitaire]]*VenteRetails[[#This Row],[Quantite]]*(1-VenteRetails[[#This Row],[Remise]])</f>
        <v>229.5</v>
      </c>
      <c r="M4" s="13">
        <f>VenteRetails[[#This Row],[CA Net]]-(VenteRetails[[#This Row],[Cout_Unitaire]]*VenteRetails[[#This Row],[Quantite]])</f>
        <v>94.5</v>
      </c>
    </row>
    <row r="5" spans="1:13" x14ac:dyDescent="0.25">
      <c r="A5" t="s">
        <v>21</v>
      </c>
      <c r="B5" s="1">
        <v>45667</v>
      </c>
      <c r="C5" t="s">
        <v>22</v>
      </c>
      <c r="D5" t="s">
        <v>23</v>
      </c>
      <c r="E5" t="s">
        <v>24</v>
      </c>
      <c r="F5" t="s">
        <v>25</v>
      </c>
      <c r="G5" s="2">
        <v>25</v>
      </c>
      <c r="H5">
        <v>5</v>
      </c>
      <c r="I5" s="3">
        <v>0</v>
      </c>
      <c r="J5" s="2">
        <v>10</v>
      </c>
      <c r="K5" s="13">
        <f>VenteRetails[[#This Row],[Prix_Unitaire]]*VenteRetails[[#This Row],[Quantite]]</f>
        <v>125</v>
      </c>
      <c r="L5" s="13">
        <f>VenteRetails[[#This Row],[Prix_Unitaire]]*VenteRetails[[#This Row],[Quantite]]*(1-VenteRetails[[#This Row],[Remise]])</f>
        <v>125</v>
      </c>
      <c r="M5" s="13">
        <f>VenteRetails[[#This Row],[CA Net]]-(VenteRetails[[#This Row],[Cout_Unitaire]]*VenteRetails[[#This Row],[Quantite]])</f>
        <v>75</v>
      </c>
    </row>
    <row r="6" spans="1:13" x14ac:dyDescent="0.25">
      <c r="A6" t="s">
        <v>26</v>
      </c>
      <c r="B6" s="1">
        <v>45669</v>
      </c>
      <c r="C6" t="s">
        <v>27</v>
      </c>
      <c r="D6" t="s">
        <v>168</v>
      </c>
      <c r="E6" t="s">
        <v>169</v>
      </c>
      <c r="F6" t="s">
        <v>171</v>
      </c>
      <c r="G6" s="2">
        <v>320</v>
      </c>
      <c r="H6">
        <v>1</v>
      </c>
      <c r="I6" s="3">
        <v>0.15</v>
      </c>
      <c r="J6" s="2">
        <v>210</v>
      </c>
      <c r="K6" s="13">
        <f>VenteRetails[[#This Row],[Prix_Unitaire]]*VenteRetails[[#This Row],[Quantite]]</f>
        <v>320</v>
      </c>
      <c r="L6" s="13">
        <f>VenteRetails[[#This Row],[Prix_Unitaire]]*VenteRetails[[#This Row],[Quantite]]*(1-VenteRetails[[#This Row],[Remise]])</f>
        <v>272</v>
      </c>
      <c r="M6" s="13">
        <f>VenteRetails[[#This Row],[CA Net]]-(VenteRetails[[#This Row],[Cout_Unitaire]]*VenteRetails[[#This Row],[Quantite]])</f>
        <v>62</v>
      </c>
    </row>
    <row r="7" spans="1:13" x14ac:dyDescent="0.25">
      <c r="A7" t="s">
        <v>28</v>
      </c>
      <c r="B7" s="1">
        <v>45672</v>
      </c>
      <c r="C7" t="s">
        <v>29</v>
      </c>
      <c r="D7" t="s">
        <v>30</v>
      </c>
      <c r="E7" t="s">
        <v>15</v>
      </c>
      <c r="F7" t="s">
        <v>31</v>
      </c>
      <c r="G7" s="2">
        <v>450</v>
      </c>
      <c r="H7">
        <v>1</v>
      </c>
      <c r="I7" s="3">
        <v>0.05</v>
      </c>
      <c r="J7" s="2">
        <v>280</v>
      </c>
      <c r="K7" s="13">
        <f>VenteRetails[[#This Row],[Prix_Unitaire]]*VenteRetails[[#This Row],[Quantite]]</f>
        <v>450</v>
      </c>
      <c r="L7" s="13">
        <f>VenteRetails[[#This Row],[Prix_Unitaire]]*VenteRetails[[#This Row],[Quantite]]*(1-VenteRetails[[#This Row],[Remise]])</f>
        <v>427.5</v>
      </c>
      <c r="M7" s="13">
        <f>VenteRetails[[#This Row],[CA Net]]-(VenteRetails[[#This Row],[Cout_Unitaire]]*VenteRetails[[#This Row],[Quantite]])</f>
        <v>147.5</v>
      </c>
    </row>
    <row r="8" spans="1:13" x14ac:dyDescent="0.25">
      <c r="A8" t="s">
        <v>32</v>
      </c>
      <c r="B8" s="1">
        <v>45675</v>
      </c>
      <c r="C8" t="s">
        <v>33</v>
      </c>
      <c r="D8" t="s">
        <v>167</v>
      </c>
      <c r="E8" t="s">
        <v>20</v>
      </c>
      <c r="F8" t="s">
        <v>34</v>
      </c>
      <c r="G8" s="2">
        <v>45</v>
      </c>
      <c r="H8">
        <v>4</v>
      </c>
      <c r="I8" s="3">
        <v>0</v>
      </c>
      <c r="J8" s="2">
        <v>20</v>
      </c>
      <c r="K8" s="13">
        <f>VenteRetails[[#This Row],[Prix_Unitaire]]*VenteRetails[[#This Row],[Quantite]]</f>
        <v>180</v>
      </c>
      <c r="L8" s="13">
        <f>VenteRetails[[#This Row],[Prix_Unitaire]]*VenteRetails[[#This Row],[Quantite]]*(1-VenteRetails[[#This Row],[Remise]])</f>
        <v>180</v>
      </c>
      <c r="M8" s="13">
        <f>VenteRetails[[#This Row],[CA Net]]-(VenteRetails[[#This Row],[Cout_Unitaire]]*VenteRetails[[#This Row],[Quantite]])</f>
        <v>100</v>
      </c>
    </row>
    <row r="9" spans="1:13" x14ac:dyDescent="0.25">
      <c r="A9" t="s">
        <v>35</v>
      </c>
      <c r="B9" s="1">
        <v>45677</v>
      </c>
      <c r="C9" t="s">
        <v>36</v>
      </c>
      <c r="D9" t="s">
        <v>168</v>
      </c>
      <c r="E9" t="s">
        <v>24</v>
      </c>
      <c r="F9" t="s">
        <v>172</v>
      </c>
      <c r="G9" s="2">
        <v>15</v>
      </c>
      <c r="H9">
        <v>10</v>
      </c>
      <c r="I9" s="3">
        <v>0.2</v>
      </c>
      <c r="J9" s="2">
        <v>5</v>
      </c>
      <c r="K9" s="13">
        <f>VenteRetails[[#This Row],[Prix_Unitaire]]*VenteRetails[[#This Row],[Quantite]]</f>
        <v>150</v>
      </c>
      <c r="L9" s="13">
        <f>VenteRetails[[#This Row],[Prix_Unitaire]]*VenteRetails[[#This Row],[Quantite]]*(1-VenteRetails[[#This Row],[Remise]])</f>
        <v>120</v>
      </c>
      <c r="M9" s="13">
        <f>VenteRetails[[#This Row],[CA Net]]-(VenteRetails[[#This Row],[Cout_Unitaire]]*VenteRetails[[#This Row],[Quantite]])</f>
        <v>70</v>
      </c>
    </row>
    <row r="10" spans="1:13" x14ac:dyDescent="0.25">
      <c r="A10" t="s">
        <v>37</v>
      </c>
      <c r="B10" s="1">
        <v>45679</v>
      </c>
      <c r="C10" t="s">
        <v>38</v>
      </c>
      <c r="D10" t="s">
        <v>19</v>
      </c>
      <c r="E10" t="s">
        <v>169</v>
      </c>
      <c r="F10" t="s">
        <v>12</v>
      </c>
      <c r="G10" s="2">
        <v>120</v>
      </c>
      <c r="H10">
        <v>1</v>
      </c>
      <c r="I10" s="3">
        <v>0</v>
      </c>
      <c r="J10" s="2">
        <v>70</v>
      </c>
      <c r="K10" s="13">
        <f>VenteRetails[[#This Row],[Prix_Unitaire]]*VenteRetails[[#This Row],[Quantite]]</f>
        <v>120</v>
      </c>
      <c r="L10" s="13">
        <f>VenteRetails[[#This Row],[Prix_Unitaire]]*VenteRetails[[#This Row],[Quantite]]*(1-VenteRetails[[#This Row],[Remise]])</f>
        <v>120</v>
      </c>
      <c r="M10" s="13">
        <f>VenteRetails[[#This Row],[CA Net]]-(VenteRetails[[#This Row],[Cout_Unitaire]]*VenteRetails[[#This Row],[Quantite]])</f>
        <v>50</v>
      </c>
    </row>
    <row r="11" spans="1:13" x14ac:dyDescent="0.25">
      <c r="A11" t="s">
        <v>39</v>
      </c>
      <c r="B11" s="1">
        <v>45682</v>
      </c>
      <c r="C11" t="s">
        <v>40</v>
      </c>
      <c r="D11" t="s">
        <v>23</v>
      </c>
      <c r="E11" t="s">
        <v>15</v>
      </c>
      <c r="F11" t="s">
        <v>16</v>
      </c>
      <c r="G11" s="2">
        <v>250</v>
      </c>
      <c r="H11">
        <v>2</v>
      </c>
      <c r="I11" s="3">
        <v>0.1</v>
      </c>
      <c r="J11" s="2">
        <v>150</v>
      </c>
      <c r="K11" s="13">
        <f>VenteRetails[[#This Row],[Prix_Unitaire]]*VenteRetails[[#This Row],[Quantite]]</f>
        <v>500</v>
      </c>
      <c r="L11" s="13">
        <f>VenteRetails[[#This Row],[Prix_Unitaire]]*VenteRetails[[#This Row],[Quantite]]*(1-VenteRetails[[#This Row],[Remise]])</f>
        <v>450</v>
      </c>
      <c r="M11" s="13">
        <f>VenteRetails[[#This Row],[CA Net]]-(VenteRetails[[#This Row],[Cout_Unitaire]]*VenteRetails[[#This Row],[Quantite]])</f>
        <v>150</v>
      </c>
    </row>
    <row r="12" spans="1:13" x14ac:dyDescent="0.25">
      <c r="A12" t="s">
        <v>41</v>
      </c>
      <c r="B12" s="1">
        <v>45689</v>
      </c>
      <c r="C12" t="s">
        <v>42</v>
      </c>
      <c r="D12" t="s">
        <v>30</v>
      </c>
      <c r="E12" t="s">
        <v>20</v>
      </c>
      <c r="F12" t="s">
        <v>170</v>
      </c>
      <c r="G12" s="2">
        <v>85</v>
      </c>
      <c r="H12">
        <v>2</v>
      </c>
      <c r="I12" s="3">
        <v>0</v>
      </c>
      <c r="J12" s="2">
        <v>45</v>
      </c>
      <c r="K12" s="13">
        <f>VenteRetails[[#This Row],[Prix_Unitaire]]*VenteRetails[[#This Row],[Quantite]]</f>
        <v>170</v>
      </c>
      <c r="L12" s="13">
        <f>VenteRetails[[#This Row],[Prix_Unitaire]]*VenteRetails[[#This Row],[Quantite]]*(1-VenteRetails[[#This Row],[Remise]])</f>
        <v>170</v>
      </c>
      <c r="M12" s="13">
        <f>VenteRetails[[#This Row],[CA Net]]-(VenteRetails[[#This Row],[Cout_Unitaire]]*VenteRetails[[#This Row],[Quantite]])</f>
        <v>80</v>
      </c>
    </row>
    <row r="13" spans="1:13" x14ac:dyDescent="0.25">
      <c r="A13" t="s">
        <v>43</v>
      </c>
      <c r="B13" s="1">
        <v>45691</v>
      </c>
      <c r="C13" t="s">
        <v>44</v>
      </c>
      <c r="D13" t="s">
        <v>168</v>
      </c>
      <c r="E13" t="s">
        <v>24</v>
      </c>
      <c r="F13" t="s">
        <v>45</v>
      </c>
      <c r="G13" s="2">
        <v>35</v>
      </c>
      <c r="H13">
        <v>3</v>
      </c>
      <c r="I13" s="3">
        <v>0.05</v>
      </c>
      <c r="J13" s="2">
        <v>18</v>
      </c>
      <c r="K13" s="13">
        <f>VenteRetails[[#This Row],[Prix_Unitaire]]*VenteRetails[[#This Row],[Quantite]]</f>
        <v>105</v>
      </c>
      <c r="L13" s="13">
        <f>VenteRetails[[#This Row],[Prix_Unitaire]]*VenteRetails[[#This Row],[Quantite]]*(1-VenteRetails[[#This Row],[Remise]])</f>
        <v>99.75</v>
      </c>
      <c r="M13" s="13">
        <f>VenteRetails[[#This Row],[CA Net]]-(VenteRetails[[#This Row],[Cout_Unitaire]]*VenteRetails[[#This Row],[Quantite]])</f>
        <v>45.75</v>
      </c>
    </row>
    <row r="14" spans="1:13" x14ac:dyDescent="0.25">
      <c r="A14" t="s">
        <v>46</v>
      </c>
      <c r="B14" s="1">
        <v>45693</v>
      </c>
      <c r="C14" t="s">
        <v>47</v>
      </c>
      <c r="D14" t="s">
        <v>167</v>
      </c>
      <c r="E14" t="s">
        <v>169</v>
      </c>
      <c r="F14" t="s">
        <v>48</v>
      </c>
      <c r="G14" s="2">
        <v>90</v>
      </c>
      <c r="H14">
        <v>2</v>
      </c>
      <c r="I14" s="3">
        <v>0.1</v>
      </c>
      <c r="J14" s="2">
        <v>50</v>
      </c>
      <c r="K14" s="13">
        <f>VenteRetails[[#This Row],[Prix_Unitaire]]*VenteRetails[[#This Row],[Quantite]]</f>
        <v>180</v>
      </c>
      <c r="L14" s="13">
        <f>VenteRetails[[#This Row],[Prix_Unitaire]]*VenteRetails[[#This Row],[Quantite]]*(1-VenteRetails[[#This Row],[Remise]])</f>
        <v>162</v>
      </c>
      <c r="M14" s="13">
        <f>VenteRetails[[#This Row],[CA Net]]-(VenteRetails[[#This Row],[Cout_Unitaire]]*VenteRetails[[#This Row],[Quantite]])</f>
        <v>62</v>
      </c>
    </row>
    <row r="15" spans="1:13" x14ac:dyDescent="0.25">
      <c r="A15" t="s">
        <v>49</v>
      </c>
      <c r="B15" s="1">
        <v>45696</v>
      </c>
      <c r="C15" t="s">
        <v>50</v>
      </c>
      <c r="D15" t="s">
        <v>19</v>
      </c>
      <c r="E15" t="s">
        <v>15</v>
      </c>
      <c r="F15" t="s">
        <v>51</v>
      </c>
      <c r="G15" s="2">
        <v>40</v>
      </c>
      <c r="H15">
        <v>4</v>
      </c>
      <c r="I15" s="3">
        <v>0</v>
      </c>
      <c r="J15" s="2">
        <v>22</v>
      </c>
      <c r="K15" s="13">
        <f>VenteRetails[[#This Row],[Prix_Unitaire]]*VenteRetails[[#This Row],[Quantite]]</f>
        <v>160</v>
      </c>
      <c r="L15" s="13">
        <f>VenteRetails[[#This Row],[Prix_Unitaire]]*VenteRetails[[#This Row],[Quantite]]*(1-VenteRetails[[#This Row],[Remise]])</f>
        <v>160</v>
      </c>
      <c r="M15" s="13">
        <f>VenteRetails[[#This Row],[CA Net]]-(VenteRetails[[#This Row],[Cout_Unitaire]]*VenteRetails[[#This Row],[Quantite]])</f>
        <v>72</v>
      </c>
    </row>
    <row r="16" spans="1:13" x14ac:dyDescent="0.25">
      <c r="A16" t="s">
        <v>52</v>
      </c>
      <c r="B16" s="1">
        <v>45698</v>
      </c>
      <c r="C16" t="s">
        <v>53</v>
      </c>
      <c r="D16" t="s">
        <v>168</v>
      </c>
      <c r="E16" t="s">
        <v>20</v>
      </c>
      <c r="F16" t="s">
        <v>171</v>
      </c>
      <c r="G16" s="2">
        <v>320</v>
      </c>
      <c r="H16">
        <v>2</v>
      </c>
      <c r="I16" s="3">
        <v>0.05</v>
      </c>
      <c r="J16" s="2">
        <v>210</v>
      </c>
      <c r="K16" s="13">
        <f>VenteRetails[[#This Row],[Prix_Unitaire]]*VenteRetails[[#This Row],[Quantite]]</f>
        <v>640</v>
      </c>
      <c r="L16" s="13">
        <f>VenteRetails[[#This Row],[Prix_Unitaire]]*VenteRetails[[#This Row],[Quantite]]*(1-VenteRetails[[#This Row],[Remise]])</f>
        <v>608</v>
      </c>
      <c r="M16" s="13">
        <f>VenteRetails[[#This Row],[CA Net]]-(VenteRetails[[#This Row],[Cout_Unitaire]]*VenteRetails[[#This Row],[Quantite]])</f>
        <v>188</v>
      </c>
    </row>
    <row r="17" spans="1:13" x14ac:dyDescent="0.25">
      <c r="A17" t="s">
        <v>54</v>
      </c>
      <c r="B17" s="1">
        <v>45702</v>
      </c>
      <c r="C17" t="s">
        <v>55</v>
      </c>
      <c r="D17" t="s">
        <v>23</v>
      </c>
      <c r="E17" t="s">
        <v>169</v>
      </c>
      <c r="F17" t="s">
        <v>56</v>
      </c>
      <c r="G17" s="2">
        <v>75</v>
      </c>
      <c r="H17">
        <v>1</v>
      </c>
      <c r="I17" s="3">
        <v>0</v>
      </c>
      <c r="J17" s="2">
        <v>40</v>
      </c>
      <c r="K17" s="13">
        <f>VenteRetails[[#This Row],[Prix_Unitaire]]*VenteRetails[[#This Row],[Quantite]]</f>
        <v>75</v>
      </c>
      <c r="L17" s="13">
        <f>VenteRetails[[#This Row],[Prix_Unitaire]]*VenteRetails[[#This Row],[Quantite]]*(1-VenteRetails[[#This Row],[Remise]])</f>
        <v>75</v>
      </c>
      <c r="M17" s="13">
        <f>VenteRetails[[#This Row],[CA Net]]-(VenteRetails[[#This Row],[Cout_Unitaire]]*VenteRetails[[#This Row],[Quantite]])</f>
        <v>35</v>
      </c>
    </row>
    <row r="18" spans="1:13" x14ac:dyDescent="0.25">
      <c r="A18" t="s">
        <v>57</v>
      </c>
      <c r="B18" s="1">
        <v>45705</v>
      </c>
      <c r="C18" t="s">
        <v>58</v>
      </c>
      <c r="D18" t="s">
        <v>30</v>
      </c>
      <c r="E18" t="s">
        <v>24</v>
      </c>
      <c r="F18" t="s">
        <v>172</v>
      </c>
      <c r="G18" s="2">
        <v>15</v>
      </c>
      <c r="H18">
        <v>8</v>
      </c>
      <c r="I18" s="3">
        <v>0.1</v>
      </c>
      <c r="J18" s="2">
        <v>5</v>
      </c>
      <c r="K18" s="13">
        <f>VenteRetails[[#This Row],[Prix_Unitaire]]*VenteRetails[[#This Row],[Quantite]]</f>
        <v>120</v>
      </c>
      <c r="L18" s="13">
        <f>VenteRetails[[#This Row],[Prix_Unitaire]]*VenteRetails[[#This Row],[Quantite]]*(1-VenteRetails[[#This Row],[Remise]])</f>
        <v>108</v>
      </c>
      <c r="M18" s="13">
        <f>VenteRetails[[#This Row],[CA Net]]-(VenteRetails[[#This Row],[Cout_Unitaire]]*VenteRetails[[#This Row],[Quantite]])</f>
        <v>68</v>
      </c>
    </row>
    <row r="19" spans="1:13" x14ac:dyDescent="0.25">
      <c r="A19" t="s">
        <v>59</v>
      </c>
      <c r="B19" s="1">
        <v>45708</v>
      </c>
      <c r="C19" t="s">
        <v>60</v>
      </c>
      <c r="D19" t="s">
        <v>167</v>
      </c>
      <c r="E19" t="s">
        <v>15</v>
      </c>
      <c r="F19" t="s">
        <v>31</v>
      </c>
      <c r="G19" s="2">
        <v>450</v>
      </c>
      <c r="H19">
        <v>1</v>
      </c>
      <c r="I19" s="3">
        <v>0</v>
      </c>
      <c r="J19" s="2">
        <v>280</v>
      </c>
      <c r="K19" s="13">
        <f>VenteRetails[[#This Row],[Prix_Unitaire]]*VenteRetails[[#This Row],[Quantite]]</f>
        <v>450</v>
      </c>
      <c r="L19" s="13">
        <f>VenteRetails[[#This Row],[Prix_Unitaire]]*VenteRetails[[#This Row],[Quantite]]*(1-VenteRetails[[#This Row],[Remise]])</f>
        <v>450</v>
      </c>
      <c r="M19" s="13">
        <f>VenteRetails[[#This Row],[CA Net]]-(VenteRetails[[#This Row],[Cout_Unitaire]]*VenteRetails[[#This Row],[Quantite]])</f>
        <v>170</v>
      </c>
    </row>
    <row r="20" spans="1:13" x14ac:dyDescent="0.25">
      <c r="A20" t="s">
        <v>61</v>
      </c>
      <c r="B20" s="1">
        <v>45710</v>
      </c>
      <c r="C20" t="s">
        <v>62</v>
      </c>
      <c r="D20" t="s">
        <v>168</v>
      </c>
      <c r="E20" t="s">
        <v>20</v>
      </c>
      <c r="F20" t="s">
        <v>34</v>
      </c>
      <c r="G20" s="2">
        <v>45</v>
      </c>
      <c r="H20">
        <v>5</v>
      </c>
      <c r="I20" s="3">
        <v>0.15</v>
      </c>
      <c r="J20" s="2">
        <v>20</v>
      </c>
      <c r="K20" s="13">
        <f>VenteRetails[[#This Row],[Prix_Unitaire]]*VenteRetails[[#This Row],[Quantite]]</f>
        <v>225</v>
      </c>
      <c r="L20" s="13">
        <f>VenteRetails[[#This Row],[Prix_Unitaire]]*VenteRetails[[#This Row],[Quantite]]*(1-VenteRetails[[#This Row],[Remise]])</f>
        <v>191.25</v>
      </c>
      <c r="M20" s="13">
        <f>VenteRetails[[#This Row],[CA Net]]-(VenteRetails[[#This Row],[Cout_Unitaire]]*VenteRetails[[#This Row],[Quantite]])</f>
        <v>91.25</v>
      </c>
    </row>
    <row r="21" spans="1:13" x14ac:dyDescent="0.25">
      <c r="A21" t="s">
        <v>63</v>
      </c>
      <c r="B21" s="1">
        <v>45714</v>
      </c>
      <c r="C21" t="s">
        <v>64</v>
      </c>
      <c r="D21" t="s">
        <v>19</v>
      </c>
      <c r="E21" t="s">
        <v>169</v>
      </c>
      <c r="F21" t="s">
        <v>12</v>
      </c>
      <c r="G21" s="2">
        <v>120</v>
      </c>
      <c r="H21">
        <v>3</v>
      </c>
      <c r="I21" s="3">
        <v>0.05</v>
      </c>
      <c r="J21" s="2">
        <v>70</v>
      </c>
      <c r="K21" s="13">
        <f>VenteRetails[[#This Row],[Prix_Unitaire]]*VenteRetails[[#This Row],[Quantite]]</f>
        <v>360</v>
      </c>
      <c r="L21" s="13">
        <f>VenteRetails[[#This Row],[Prix_Unitaire]]*VenteRetails[[#This Row],[Quantite]]*(1-VenteRetails[[#This Row],[Remise]])</f>
        <v>342</v>
      </c>
      <c r="M21" s="13">
        <f>VenteRetails[[#This Row],[CA Net]]-(VenteRetails[[#This Row],[Cout_Unitaire]]*VenteRetails[[#This Row],[Quantite]])</f>
        <v>132</v>
      </c>
    </row>
    <row r="22" spans="1:13" x14ac:dyDescent="0.25">
      <c r="A22" t="s">
        <v>65</v>
      </c>
      <c r="B22" s="1">
        <v>45718</v>
      </c>
      <c r="C22" t="s">
        <v>66</v>
      </c>
      <c r="D22" t="s">
        <v>23</v>
      </c>
      <c r="E22" t="s">
        <v>15</v>
      </c>
      <c r="F22" t="s">
        <v>16</v>
      </c>
      <c r="G22" s="2">
        <v>250</v>
      </c>
      <c r="H22">
        <v>1</v>
      </c>
      <c r="I22" s="3">
        <v>0</v>
      </c>
      <c r="J22" s="2">
        <v>150</v>
      </c>
      <c r="K22" s="13">
        <f>VenteRetails[[#This Row],[Prix_Unitaire]]*VenteRetails[[#This Row],[Quantite]]</f>
        <v>250</v>
      </c>
      <c r="L22" s="13">
        <f>VenteRetails[[#This Row],[Prix_Unitaire]]*VenteRetails[[#This Row],[Quantite]]*(1-VenteRetails[[#This Row],[Remise]])</f>
        <v>250</v>
      </c>
      <c r="M22" s="13">
        <f>VenteRetails[[#This Row],[CA Net]]-(VenteRetails[[#This Row],[Cout_Unitaire]]*VenteRetails[[#This Row],[Quantite]])</f>
        <v>100</v>
      </c>
    </row>
    <row r="23" spans="1:13" x14ac:dyDescent="0.25">
      <c r="A23" t="s">
        <v>67</v>
      </c>
      <c r="B23" s="1">
        <v>45721</v>
      </c>
      <c r="C23" t="s">
        <v>68</v>
      </c>
      <c r="D23" t="s">
        <v>30</v>
      </c>
      <c r="E23" t="s">
        <v>20</v>
      </c>
      <c r="F23" t="s">
        <v>170</v>
      </c>
      <c r="G23" s="2">
        <v>85</v>
      </c>
      <c r="H23">
        <v>1</v>
      </c>
      <c r="I23" s="3">
        <v>0</v>
      </c>
      <c r="J23" s="2">
        <v>45</v>
      </c>
      <c r="K23" s="13">
        <f>VenteRetails[[#This Row],[Prix_Unitaire]]*VenteRetails[[#This Row],[Quantite]]</f>
        <v>85</v>
      </c>
      <c r="L23" s="13">
        <f>VenteRetails[[#This Row],[Prix_Unitaire]]*VenteRetails[[#This Row],[Quantite]]*(1-VenteRetails[[#This Row],[Remise]])</f>
        <v>85</v>
      </c>
      <c r="M23" s="13">
        <f>VenteRetails[[#This Row],[CA Net]]-(VenteRetails[[#This Row],[Cout_Unitaire]]*VenteRetails[[#This Row],[Quantite]])</f>
        <v>40</v>
      </c>
    </row>
    <row r="24" spans="1:13" x14ac:dyDescent="0.25">
      <c r="A24" t="s">
        <v>69</v>
      </c>
      <c r="B24" s="1">
        <v>45725</v>
      </c>
      <c r="C24" t="s">
        <v>70</v>
      </c>
      <c r="D24" t="s">
        <v>168</v>
      </c>
      <c r="E24" t="s">
        <v>24</v>
      </c>
      <c r="F24" t="s">
        <v>25</v>
      </c>
      <c r="G24" s="2">
        <v>25</v>
      </c>
      <c r="H24">
        <v>6</v>
      </c>
      <c r="I24" s="3">
        <v>0.1</v>
      </c>
      <c r="J24" s="2">
        <v>10</v>
      </c>
      <c r="K24" s="13">
        <f>VenteRetails[[#This Row],[Prix_Unitaire]]*VenteRetails[[#This Row],[Quantite]]</f>
        <v>150</v>
      </c>
      <c r="L24" s="13">
        <f>VenteRetails[[#This Row],[Prix_Unitaire]]*VenteRetails[[#This Row],[Quantite]]*(1-VenteRetails[[#This Row],[Remise]])</f>
        <v>135</v>
      </c>
      <c r="M24" s="13">
        <f>VenteRetails[[#This Row],[CA Net]]-(VenteRetails[[#This Row],[Cout_Unitaire]]*VenteRetails[[#This Row],[Quantite]])</f>
        <v>75</v>
      </c>
    </row>
    <row r="25" spans="1:13" x14ac:dyDescent="0.25">
      <c r="A25" t="s">
        <v>71</v>
      </c>
      <c r="B25" s="1">
        <v>45728</v>
      </c>
      <c r="C25" t="s">
        <v>72</v>
      </c>
      <c r="D25" t="s">
        <v>167</v>
      </c>
      <c r="E25" t="s">
        <v>169</v>
      </c>
      <c r="F25" t="s">
        <v>171</v>
      </c>
      <c r="G25" s="2">
        <v>320</v>
      </c>
      <c r="H25">
        <v>1</v>
      </c>
      <c r="I25" s="3">
        <v>0</v>
      </c>
      <c r="J25" s="2">
        <v>210</v>
      </c>
      <c r="K25" s="13">
        <f>VenteRetails[[#This Row],[Prix_Unitaire]]*VenteRetails[[#This Row],[Quantite]]</f>
        <v>320</v>
      </c>
      <c r="L25" s="13">
        <f>VenteRetails[[#This Row],[Prix_Unitaire]]*VenteRetails[[#This Row],[Quantite]]*(1-VenteRetails[[#This Row],[Remise]])</f>
        <v>320</v>
      </c>
      <c r="M25" s="13">
        <f>VenteRetails[[#This Row],[CA Net]]-(VenteRetails[[#This Row],[Cout_Unitaire]]*VenteRetails[[#This Row],[Quantite]])</f>
        <v>110</v>
      </c>
    </row>
    <row r="26" spans="1:13" x14ac:dyDescent="0.25">
      <c r="A26" t="s">
        <v>73</v>
      </c>
      <c r="B26" s="1">
        <v>45731</v>
      </c>
      <c r="C26" t="s">
        <v>74</v>
      </c>
      <c r="D26" t="s">
        <v>19</v>
      </c>
      <c r="E26" t="s">
        <v>15</v>
      </c>
      <c r="F26" t="s">
        <v>51</v>
      </c>
      <c r="G26" s="2">
        <v>40</v>
      </c>
      <c r="H26">
        <v>2</v>
      </c>
      <c r="I26" s="3">
        <v>0.05</v>
      </c>
      <c r="J26" s="2">
        <v>22</v>
      </c>
      <c r="K26" s="13">
        <f>VenteRetails[[#This Row],[Prix_Unitaire]]*VenteRetails[[#This Row],[Quantite]]</f>
        <v>80</v>
      </c>
      <c r="L26" s="13">
        <f>VenteRetails[[#This Row],[Prix_Unitaire]]*VenteRetails[[#This Row],[Quantite]]*(1-VenteRetails[[#This Row],[Remise]])</f>
        <v>76</v>
      </c>
      <c r="M26" s="13">
        <f>VenteRetails[[#This Row],[CA Net]]-(VenteRetails[[#This Row],[Cout_Unitaire]]*VenteRetails[[#This Row],[Quantite]])</f>
        <v>32</v>
      </c>
    </row>
    <row r="27" spans="1:13" x14ac:dyDescent="0.25">
      <c r="A27" t="s">
        <v>75</v>
      </c>
      <c r="B27" s="1">
        <v>45734</v>
      </c>
      <c r="C27" t="s">
        <v>76</v>
      </c>
      <c r="D27" t="s">
        <v>168</v>
      </c>
      <c r="E27" t="s">
        <v>20</v>
      </c>
      <c r="F27" t="s">
        <v>34</v>
      </c>
      <c r="G27" s="2">
        <v>45</v>
      </c>
      <c r="H27">
        <v>3</v>
      </c>
      <c r="I27" s="3">
        <v>0</v>
      </c>
      <c r="J27" s="2">
        <v>20</v>
      </c>
      <c r="K27" s="13">
        <f>VenteRetails[[#This Row],[Prix_Unitaire]]*VenteRetails[[#This Row],[Quantite]]</f>
        <v>135</v>
      </c>
      <c r="L27" s="13">
        <f>VenteRetails[[#This Row],[Prix_Unitaire]]*VenteRetails[[#This Row],[Quantite]]*(1-VenteRetails[[#This Row],[Remise]])</f>
        <v>135</v>
      </c>
      <c r="M27" s="13">
        <f>VenteRetails[[#This Row],[CA Net]]-(VenteRetails[[#This Row],[Cout_Unitaire]]*VenteRetails[[#This Row],[Quantite]])</f>
        <v>75</v>
      </c>
    </row>
    <row r="28" spans="1:13" x14ac:dyDescent="0.25">
      <c r="A28" t="s">
        <v>77</v>
      </c>
      <c r="B28" s="1">
        <v>45737</v>
      </c>
      <c r="C28" t="s">
        <v>11</v>
      </c>
      <c r="D28" t="s">
        <v>23</v>
      </c>
      <c r="E28" t="s">
        <v>24</v>
      </c>
      <c r="F28" t="s">
        <v>45</v>
      </c>
      <c r="G28" s="2">
        <v>35</v>
      </c>
      <c r="H28">
        <v>2</v>
      </c>
      <c r="I28" s="3">
        <v>0</v>
      </c>
      <c r="J28" s="2">
        <v>18</v>
      </c>
      <c r="K28" s="13">
        <f>VenteRetails[[#This Row],[Prix_Unitaire]]*VenteRetails[[#This Row],[Quantite]]</f>
        <v>70</v>
      </c>
      <c r="L28" s="13">
        <f>VenteRetails[[#This Row],[Prix_Unitaire]]*VenteRetails[[#This Row],[Quantite]]*(1-VenteRetails[[#This Row],[Remise]])</f>
        <v>70</v>
      </c>
      <c r="M28" s="13">
        <f>VenteRetails[[#This Row],[CA Net]]-(VenteRetails[[#This Row],[Cout_Unitaire]]*VenteRetails[[#This Row],[Quantite]])</f>
        <v>34</v>
      </c>
    </row>
    <row r="29" spans="1:13" x14ac:dyDescent="0.25">
      <c r="A29" t="s">
        <v>78</v>
      </c>
      <c r="B29" s="1">
        <v>45741</v>
      </c>
      <c r="C29" t="s">
        <v>14</v>
      </c>
      <c r="D29" t="s">
        <v>30</v>
      </c>
      <c r="E29" t="s">
        <v>169</v>
      </c>
      <c r="F29" t="s">
        <v>48</v>
      </c>
      <c r="G29" s="2">
        <v>90</v>
      </c>
      <c r="H29">
        <v>1</v>
      </c>
      <c r="I29" s="3">
        <v>0.15</v>
      </c>
      <c r="J29" s="2">
        <v>50</v>
      </c>
      <c r="K29" s="13">
        <f>VenteRetails[[#This Row],[Prix_Unitaire]]*VenteRetails[[#This Row],[Quantite]]</f>
        <v>90</v>
      </c>
      <c r="L29" s="13">
        <f>VenteRetails[[#This Row],[Prix_Unitaire]]*VenteRetails[[#This Row],[Quantite]]*(1-VenteRetails[[#This Row],[Remise]])</f>
        <v>76.5</v>
      </c>
      <c r="M29" s="13">
        <f>VenteRetails[[#This Row],[CA Net]]-(VenteRetails[[#This Row],[Cout_Unitaire]]*VenteRetails[[#This Row],[Quantite]])</f>
        <v>26.5</v>
      </c>
    </row>
    <row r="30" spans="1:13" x14ac:dyDescent="0.25">
      <c r="A30" t="s">
        <v>79</v>
      </c>
      <c r="B30" s="1">
        <v>45744</v>
      </c>
      <c r="C30" t="s">
        <v>18</v>
      </c>
      <c r="D30" t="s">
        <v>167</v>
      </c>
      <c r="E30" t="s">
        <v>15</v>
      </c>
      <c r="F30" t="s">
        <v>31</v>
      </c>
      <c r="G30" s="2">
        <v>450</v>
      </c>
      <c r="H30">
        <v>2</v>
      </c>
      <c r="I30" s="3">
        <v>0.1</v>
      </c>
      <c r="J30" s="2">
        <v>280</v>
      </c>
      <c r="K30" s="13">
        <f>VenteRetails[[#This Row],[Prix_Unitaire]]*VenteRetails[[#This Row],[Quantite]]</f>
        <v>900</v>
      </c>
      <c r="L30" s="13">
        <f>VenteRetails[[#This Row],[Prix_Unitaire]]*VenteRetails[[#This Row],[Quantite]]*(1-VenteRetails[[#This Row],[Remise]])</f>
        <v>810</v>
      </c>
      <c r="M30" s="13">
        <f>VenteRetails[[#This Row],[CA Net]]-(VenteRetails[[#This Row],[Cout_Unitaire]]*VenteRetails[[#This Row],[Quantite]])</f>
        <v>250</v>
      </c>
    </row>
    <row r="31" spans="1:13" x14ac:dyDescent="0.25">
      <c r="A31" t="s">
        <v>80</v>
      </c>
      <c r="B31" s="1">
        <v>45746</v>
      </c>
      <c r="C31" t="s">
        <v>22</v>
      </c>
      <c r="D31" t="s">
        <v>168</v>
      </c>
      <c r="E31" t="s">
        <v>20</v>
      </c>
      <c r="F31" t="s">
        <v>170</v>
      </c>
      <c r="G31" s="2">
        <v>85</v>
      </c>
      <c r="H31">
        <v>4</v>
      </c>
      <c r="I31" s="3">
        <v>0.05</v>
      </c>
      <c r="J31" s="2">
        <v>45</v>
      </c>
      <c r="K31" s="13">
        <f>VenteRetails[[#This Row],[Prix_Unitaire]]*VenteRetails[[#This Row],[Quantite]]</f>
        <v>340</v>
      </c>
      <c r="L31" s="13">
        <f>VenteRetails[[#This Row],[Prix_Unitaire]]*VenteRetails[[#This Row],[Quantite]]*(1-VenteRetails[[#This Row],[Remise]])</f>
        <v>323</v>
      </c>
      <c r="M31" s="13">
        <f>VenteRetails[[#This Row],[CA Net]]-(VenteRetails[[#This Row],[Cout_Unitaire]]*VenteRetails[[#This Row],[Quantite]])</f>
        <v>143</v>
      </c>
    </row>
    <row r="32" spans="1:13" x14ac:dyDescent="0.25">
      <c r="A32" t="s">
        <v>81</v>
      </c>
      <c r="B32" s="1">
        <v>45749</v>
      </c>
      <c r="C32" t="s">
        <v>27</v>
      </c>
      <c r="D32" t="s">
        <v>19</v>
      </c>
      <c r="E32" t="s">
        <v>24</v>
      </c>
      <c r="F32" t="s">
        <v>172</v>
      </c>
      <c r="G32" s="2">
        <v>15</v>
      </c>
      <c r="H32">
        <v>12</v>
      </c>
      <c r="I32" s="3">
        <v>0</v>
      </c>
      <c r="J32" s="2">
        <v>5</v>
      </c>
      <c r="K32" s="13">
        <f>VenteRetails[[#This Row],[Prix_Unitaire]]*VenteRetails[[#This Row],[Quantite]]</f>
        <v>180</v>
      </c>
      <c r="L32" s="13">
        <f>VenteRetails[[#This Row],[Prix_Unitaire]]*VenteRetails[[#This Row],[Quantite]]*(1-VenteRetails[[#This Row],[Remise]])</f>
        <v>180</v>
      </c>
      <c r="M32" s="13">
        <f>VenteRetails[[#This Row],[CA Net]]-(VenteRetails[[#This Row],[Cout_Unitaire]]*VenteRetails[[#This Row],[Quantite]])</f>
        <v>120</v>
      </c>
    </row>
    <row r="33" spans="1:13" x14ac:dyDescent="0.25">
      <c r="A33" t="s">
        <v>82</v>
      </c>
      <c r="B33" s="1">
        <v>45752</v>
      </c>
      <c r="C33" t="s">
        <v>29</v>
      </c>
      <c r="D33" t="s">
        <v>23</v>
      </c>
      <c r="E33" t="s">
        <v>169</v>
      </c>
      <c r="F33" t="s">
        <v>12</v>
      </c>
      <c r="G33" s="2">
        <v>120</v>
      </c>
      <c r="H33">
        <v>2</v>
      </c>
      <c r="I33" s="3">
        <v>0.1</v>
      </c>
      <c r="J33" s="2">
        <v>70</v>
      </c>
      <c r="K33" s="13">
        <f>VenteRetails[[#This Row],[Prix_Unitaire]]*VenteRetails[[#This Row],[Quantite]]</f>
        <v>240</v>
      </c>
      <c r="L33" s="13">
        <f>VenteRetails[[#This Row],[Prix_Unitaire]]*VenteRetails[[#This Row],[Quantite]]*(1-VenteRetails[[#This Row],[Remise]])</f>
        <v>216</v>
      </c>
      <c r="M33" s="13">
        <f>VenteRetails[[#This Row],[CA Net]]-(VenteRetails[[#This Row],[Cout_Unitaire]]*VenteRetails[[#This Row],[Quantite]])</f>
        <v>76</v>
      </c>
    </row>
    <row r="34" spans="1:13" x14ac:dyDescent="0.25">
      <c r="A34" t="s">
        <v>83</v>
      </c>
      <c r="B34" s="1">
        <v>45755</v>
      </c>
      <c r="C34" t="s">
        <v>33</v>
      </c>
      <c r="D34" t="s">
        <v>30</v>
      </c>
      <c r="E34" t="s">
        <v>15</v>
      </c>
      <c r="F34" t="s">
        <v>16</v>
      </c>
      <c r="G34" s="2">
        <v>250</v>
      </c>
      <c r="H34">
        <v>1</v>
      </c>
      <c r="I34" s="3">
        <v>0.05</v>
      </c>
      <c r="J34" s="2">
        <v>150</v>
      </c>
      <c r="K34" s="13">
        <f>VenteRetails[[#This Row],[Prix_Unitaire]]*VenteRetails[[#This Row],[Quantite]]</f>
        <v>250</v>
      </c>
      <c r="L34" s="13">
        <f>VenteRetails[[#This Row],[Prix_Unitaire]]*VenteRetails[[#This Row],[Quantite]]*(1-VenteRetails[[#This Row],[Remise]])</f>
        <v>237.5</v>
      </c>
      <c r="M34" s="13">
        <f>VenteRetails[[#This Row],[CA Net]]-(VenteRetails[[#This Row],[Cout_Unitaire]]*VenteRetails[[#This Row],[Quantite]])</f>
        <v>87.5</v>
      </c>
    </row>
    <row r="35" spans="1:13" x14ac:dyDescent="0.25">
      <c r="A35" t="s">
        <v>84</v>
      </c>
      <c r="B35" s="1">
        <v>45759</v>
      </c>
      <c r="C35" t="s">
        <v>36</v>
      </c>
      <c r="D35" t="s">
        <v>167</v>
      </c>
      <c r="E35" t="s">
        <v>20</v>
      </c>
      <c r="F35" t="s">
        <v>171</v>
      </c>
      <c r="G35" s="2">
        <v>320</v>
      </c>
      <c r="H35">
        <v>2</v>
      </c>
      <c r="I35" s="3">
        <v>0</v>
      </c>
      <c r="J35" s="2">
        <v>210</v>
      </c>
      <c r="K35" s="13">
        <f>VenteRetails[[#This Row],[Prix_Unitaire]]*VenteRetails[[#This Row],[Quantite]]</f>
        <v>640</v>
      </c>
      <c r="L35" s="13">
        <f>VenteRetails[[#This Row],[Prix_Unitaire]]*VenteRetails[[#This Row],[Quantite]]*(1-VenteRetails[[#This Row],[Remise]])</f>
        <v>640</v>
      </c>
      <c r="M35" s="13">
        <f>VenteRetails[[#This Row],[CA Net]]-(VenteRetails[[#This Row],[Cout_Unitaire]]*VenteRetails[[#This Row],[Quantite]])</f>
        <v>220</v>
      </c>
    </row>
    <row r="36" spans="1:13" x14ac:dyDescent="0.25">
      <c r="A36" t="s">
        <v>85</v>
      </c>
      <c r="B36" s="1">
        <v>45762</v>
      </c>
      <c r="C36" t="s">
        <v>38</v>
      </c>
      <c r="D36" t="s">
        <v>168</v>
      </c>
      <c r="E36" t="s">
        <v>24</v>
      </c>
      <c r="F36" t="s">
        <v>25</v>
      </c>
      <c r="G36" s="2">
        <v>25</v>
      </c>
      <c r="H36">
        <v>4</v>
      </c>
      <c r="I36" s="3">
        <v>0</v>
      </c>
      <c r="J36" s="2">
        <v>10</v>
      </c>
      <c r="K36" s="13">
        <f>VenteRetails[[#This Row],[Prix_Unitaire]]*VenteRetails[[#This Row],[Quantite]]</f>
        <v>100</v>
      </c>
      <c r="L36" s="13">
        <f>VenteRetails[[#This Row],[Prix_Unitaire]]*VenteRetails[[#This Row],[Quantite]]*(1-VenteRetails[[#This Row],[Remise]])</f>
        <v>100</v>
      </c>
      <c r="M36" s="13">
        <f>VenteRetails[[#This Row],[CA Net]]-(VenteRetails[[#This Row],[Cout_Unitaire]]*VenteRetails[[#This Row],[Quantite]])</f>
        <v>60</v>
      </c>
    </row>
    <row r="37" spans="1:13" x14ac:dyDescent="0.25">
      <c r="A37" t="s">
        <v>86</v>
      </c>
      <c r="B37" s="1">
        <v>45766</v>
      </c>
      <c r="C37" t="s">
        <v>40</v>
      </c>
      <c r="D37" t="s">
        <v>19</v>
      </c>
      <c r="E37" t="s">
        <v>169</v>
      </c>
      <c r="F37" t="s">
        <v>56</v>
      </c>
      <c r="G37" s="2">
        <v>75</v>
      </c>
      <c r="H37">
        <v>3</v>
      </c>
      <c r="I37" s="3">
        <v>0.15</v>
      </c>
      <c r="J37" s="2">
        <v>40</v>
      </c>
      <c r="K37" s="13">
        <f>VenteRetails[[#This Row],[Prix_Unitaire]]*VenteRetails[[#This Row],[Quantite]]</f>
        <v>225</v>
      </c>
      <c r="L37" s="13">
        <f>VenteRetails[[#This Row],[Prix_Unitaire]]*VenteRetails[[#This Row],[Quantite]]*(1-VenteRetails[[#This Row],[Remise]])</f>
        <v>191.25</v>
      </c>
      <c r="M37" s="13">
        <f>VenteRetails[[#This Row],[CA Net]]-(VenteRetails[[#This Row],[Cout_Unitaire]]*VenteRetails[[#This Row],[Quantite]])</f>
        <v>71.25</v>
      </c>
    </row>
    <row r="38" spans="1:13" x14ac:dyDescent="0.25">
      <c r="A38" t="s">
        <v>87</v>
      </c>
      <c r="B38" s="1">
        <v>45769</v>
      </c>
      <c r="C38" t="s">
        <v>42</v>
      </c>
      <c r="D38" t="s">
        <v>23</v>
      </c>
      <c r="E38" t="s">
        <v>15</v>
      </c>
      <c r="F38" t="s">
        <v>51</v>
      </c>
      <c r="G38" s="2">
        <v>40</v>
      </c>
      <c r="H38">
        <v>1</v>
      </c>
      <c r="I38" s="3">
        <v>0</v>
      </c>
      <c r="J38" s="2">
        <v>22</v>
      </c>
      <c r="K38" s="13">
        <f>VenteRetails[[#This Row],[Prix_Unitaire]]*VenteRetails[[#This Row],[Quantite]]</f>
        <v>40</v>
      </c>
      <c r="L38" s="13">
        <f>VenteRetails[[#This Row],[Prix_Unitaire]]*VenteRetails[[#This Row],[Quantite]]*(1-VenteRetails[[#This Row],[Remise]])</f>
        <v>40</v>
      </c>
      <c r="M38" s="13">
        <f>VenteRetails[[#This Row],[CA Net]]-(VenteRetails[[#This Row],[Cout_Unitaire]]*VenteRetails[[#This Row],[Quantite]])</f>
        <v>18</v>
      </c>
    </row>
    <row r="39" spans="1:13" x14ac:dyDescent="0.25">
      <c r="A39" t="s">
        <v>88</v>
      </c>
      <c r="B39" s="1">
        <v>45772</v>
      </c>
      <c r="C39" t="s">
        <v>44</v>
      </c>
      <c r="D39" t="s">
        <v>30</v>
      </c>
      <c r="E39" t="s">
        <v>20</v>
      </c>
      <c r="F39" t="s">
        <v>34</v>
      </c>
      <c r="G39" s="2">
        <v>45</v>
      </c>
      <c r="H39">
        <v>2</v>
      </c>
      <c r="I39" s="3">
        <v>0.05</v>
      </c>
      <c r="J39" s="2">
        <v>20</v>
      </c>
      <c r="K39" s="13">
        <f>VenteRetails[[#This Row],[Prix_Unitaire]]*VenteRetails[[#This Row],[Quantite]]</f>
        <v>90</v>
      </c>
      <c r="L39" s="13">
        <f>VenteRetails[[#This Row],[Prix_Unitaire]]*VenteRetails[[#This Row],[Quantite]]*(1-VenteRetails[[#This Row],[Remise]])</f>
        <v>85.5</v>
      </c>
      <c r="M39" s="13">
        <f>VenteRetails[[#This Row],[CA Net]]-(VenteRetails[[#This Row],[Cout_Unitaire]]*VenteRetails[[#This Row],[Quantite]])</f>
        <v>45.5</v>
      </c>
    </row>
    <row r="40" spans="1:13" x14ac:dyDescent="0.25">
      <c r="A40" t="s">
        <v>89</v>
      </c>
      <c r="B40" s="1">
        <v>45775</v>
      </c>
      <c r="C40" t="s">
        <v>47</v>
      </c>
      <c r="D40" t="s">
        <v>167</v>
      </c>
      <c r="E40" t="s">
        <v>24</v>
      </c>
      <c r="F40" t="s">
        <v>45</v>
      </c>
      <c r="G40" s="2">
        <v>35</v>
      </c>
      <c r="H40">
        <v>5</v>
      </c>
      <c r="I40" s="3">
        <v>0.1</v>
      </c>
      <c r="J40" s="2">
        <v>18</v>
      </c>
      <c r="K40" s="13">
        <f>VenteRetails[[#This Row],[Prix_Unitaire]]*VenteRetails[[#This Row],[Quantite]]</f>
        <v>175</v>
      </c>
      <c r="L40" s="13">
        <f>VenteRetails[[#This Row],[Prix_Unitaire]]*VenteRetails[[#This Row],[Quantite]]*(1-VenteRetails[[#This Row],[Remise]])</f>
        <v>157.5</v>
      </c>
      <c r="M40" s="13">
        <f>VenteRetails[[#This Row],[CA Net]]-(VenteRetails[[#This Row],[Cout_Unitaire]]*VenteRetails[[#This Row],[Quantite]])</f>
        <v>67.5</v>
      </c>
    </row>
    <row r="41" spans="1:13" x14ac:dyDescent="0.25">
      <c r="A41" t="s">
        <v>90</v>
      </c>
      <c r="B41" s="1">
        <v>45777</v>
      </c>
      <c r="C41" t="s">
        <v>50</v>
      </c>
      <c r="D41" t="s">
        <v>168</v>
      </c>
      <c r="E41" t="s">
        <v>169</v>
      </c>
      <c r="F41" t="s">
        <v>48</v>
      </c>
      <c r="G41" s="2">
        <v>90</v>
      </c>
      <c r="H41">
        <v>2</v>
      </c>
      <c r="I41" s="3">
        <v>0</v>
      </c>
      <c r="J41" s="2">
        <v>50</v>
      </c>
      <c r="K41" s="13">
        <f>VenteRetails[[#This Row],[Prix_Unitaire]]*VenteRetails[[#This Row],[Quantite]]</f>
        <v>180</v>
      </c>
      <c r="L41" s="13">
        <f>VenteRetails[[#This Row],[Prix_Unitaire]]*VenteRetails[[#This Row],[Quantite]]*(1-VenteRetails[[#This Row],[Remise]])</f>
        <v>180</v>
      </c>
      <c r="M41" s="13">
        <f>VenteRetails[[#This Row],[CA Net]]-(VenteRetails[[#This Row],[Cout_Unitaire]]*VenteRetails[[#This Row],[Quantite]])</f>
        <v>80</v>
      </c>
    </row>
    <row r="42" spans="1:13" x14ac:dyDescent="0.25">
      <c r="A42" t="s">
        <v>91</v>
      </c>
      <c r="B42" s="1">
        <v>45780</v>
      </c>
      <c r="C42" t="s">
        <v>53</v>
      </c>
      <c r="D42" t="s">
        <v>19</v>
      </c>
      <c r="E42" t="s">
        <v>15</v>
      </c>
      <c r="F42" t="s">
        <v>31</v>
      </c>
      <c r="G42" s="2">
        <v>450</v>
      </c>
      <c r="H42">
        <v>1</v>
      </c>
      <c r="I42" s="3">
        <v>0.2</v>
      </c>
      <c r="J42" s="2">
        <v>280</v>
      </c>
      <c r="K42" s="13">
        <f>VenteRetails[[#This Row],[Prix_Unitaire]]*VenteRetails[[#This Row],[Quantite]]</f>
        <v>450</v>
      </c>
      <c r="L42" s="13">
        <f>VenteRetails[[#This Row],[Prix_Unitaire]]*VenteRetails[[#This Row],[Quantite]]*(1-VenteRetails[[#This Row],[Remise]])</f>
        <v>360</v>
      </c>
      <c r="M42" s="13">
        <f>VenteRetails[[#This Row],[CA Net]]-(VenteRetails[[#This Row],[Cout_Unitaire]]*VenteRetails[[#This Row],[Quantite]])</f>
        <v>80</v>
      </c>
    </row>
    <row r="43" spans="1:13" x14ac:dyDescent="0.25">
      <c r="A43" t="s">
        <v>92</v>
      </c>
      <c r="B43" s="1">
        <v>45783</v>
      </c>
      <c r="C43" t="s">
        <v>55</v>
      </c>
      <c r="D43" t="s">
        <v>23</v>
      </c>
      <c r="E43" t="s">
        <v>20</v>
      </c>
      <c r="F43" t="s">
        <v>170</v>
      </c>
      <c r="G43" s="2">
        <v>85</v>
      </c>
      <c r="H43">
        <v>3</v>
      </c>
      <c r="I43" s="3">
        <v>0</v>
      </c>
      <c r="J43" s="2">
        <v>45</v>
      </c>
      <c r="K43" s="13">
        <f>VenteRetails[[#This Row],[Prix_Unitaire]]*VenteRetails[[#This Row],[Quantite]]</f>
        <v>255</v>
      </c>
      <c r="L43" s="13">
        <f>VenteRetails[[#This Row],[Prix_Unitaire]]*VenteRetails[[#This Row],[Quantite]]*(1-VenteRetails[[#This Row],[Remise]])</f>
        <v>255</v>
      </c>
      <c r="M43" s="13">
        <f>VenteRetails[[#This Row],[CA Net]]-(VenteRetails[[#This Row],[Cout_Unitaire]]*VenteRetails[[#This Row],[Quantite]])</f>
        <v>120</v>
      </c>
    </row>
    <row r="44" spans="1:13" x14ac:dyDescent="0.25">
      <c r="A44" t="s">
        <v>93</v>
      </c>
      <c r="B44" s="1">
        <v>45786</v>
      </c>
      <c r="C44" t="s">
        <v>58</v>
      </c>
      <c r="D44" t="s">
        <v>30</v>
      </c>
      <c r="E44" t="s">
        <v>24</v>
      </c>
      <c r="F44" t="s">
        <v>172</v>
      </c>
      <c r="G44" s="2">
        <v>15</v>
      </c>
      <c r="H44">
        <v>5</v>
      </c>
      <c r="I44" s="3">
        <v>0</v>
      </c>
      <c r="J44" s="2">
        <v>5</v>
      </c>
      <c r="K44" s="13">
        <f>VenteRetails[[#This Row],[Prix_Unitaire]]*VenteRetails[[#This Row],[Quantite]]</f>
        <v>75</v>
      </c>
      <c r="L44" s="13">
        <f>VenteRetails[[#This Row],[Prix_Unitaire]]*VenteRetails[[#This Row],[Quantite]]*(1-VenteRetails[[#This Row],[Remise]])</f>
        <v>75</v>
      </c>
      <c r="M44" s="13">
        <f>VenteRetails[[#This Row],[CA Net]]-(VenteRetails[[#This Row],[Cout_Unitaire]]*VenteRetails[[#This Row],[Quantite]])</f>
        <v>50</v>
      </c>
    </row>
    <row r="45" spans="1:13" x14ac:dyDescent="0.25">
      <c r="A45" t="s">
        <v>94</v>
      </c>
      <c r="B45" s="1">
        <v>45789</v>
      </c>
      <c r="C45" t="s">
        <v>60</v>
      </c>
      <c r="D45" t="s">
        <v>167</v>
      </c>
      <c r="E45" t="s">
        <v>169</v>
      </c>
      <c r="F45" t="s">
        <v>12</v>
      </c>
      <c r="G45" s="2">
        <v>120</v>
      </c>
      <c r="H45">
        <v>1</v>
      </c>
      <c r="I45" s="3">
        <v>0.05</v>
      </c>
      <c r="J45" s="2">
        <v>70</v>
      </c>
      <c r="K45" s="13">
        <f>VenteRetails[[#This Row],[Prix_Unitaire]]*VenteRetails[[#This Row],[Quantite]]</f>
        <v>120</v>
      </c>
      <c r="L45" s="13">
        <f>VenteRetails[[#This Row],[Prix_Unitaire]]*VenteRetails[[#This Row],[Quantite]]*(1-VenteRetails[[#This Row],[Remise]])</f>
        <v>114</v>
      </c>
      <c r="M45" s="13">
        <f>VenteRetails[[#This Row],[CA Net]]-(VenteRetails[[#This Row],[Cout_Unitaire]]*VenteRetails[[#This Row],[Quantite]])</f>
        <v>44</v>
      </c>
    </row>
    <row r="46" spans="1:13" x14ac:dyDescent="0.25">
      <c r="A46" t="s">
        <v>95</v>
      </c>
      <c r="B46" s="1">
        <v>45793</v>
      </c>
      <c r="C46" t="s">
        <v>62</v>
      </c>
      <c r="D46" t="s">
        <v>168</v>
      </c>
      <c r="E46" t="s">
        <v>15</v>
      </c>
      <c r="F46" t="s">
        <v>16</v>
      </c>
      <c r="G46" s="2">
        <v>250</v>
      </c>
      <c r="H46">
        <v>3</v>
      </c>
      <c r="I46" s="3">
        <v>0.1</v>
      </c>
      <c r="J46" s="2">
        <v>150</v>
      </c>
      <c r="K46" s="13">
        <f>VenteRetails[[#This Row],[Prix_Unitaire]]*VenteRetails[[#This Row],[Quantite]]</f>
        <v>750</v>
      </c>
      <c r="L46" s="13">
        <f>VenteRetails[[#This Row],[Prix_Unitaire]]*VenteRetails[[#This Row],[Quantite]]*(1-VenteRetails[[#This Row],[Remise]])</f>
        <v>675</v>
      </c>
      <c r="M46" s="13">
        <f>VenteRetails[[#This Row],[CA Net]]-(VenteRetails[[#This Row],[Cout_Unitaire]]*VenteRetails[[#This Row],[Quantite]])</f>
        <v>225</v>
      </c>
    </row>
    <row r="47" spans="1:13" x14ac:dyDescent="0.25">
      <c r="A47" t="s">
        <v>96</v>
      </c>
      <c r="B47" s="1">
        <v>45797</v>
      </c>
      <c r="C47" t="s">
        <v>64</v>
      </c>
      <c r="D47" t="s">
        <v>19</v>
      </c>
      <c r="E47" t="s">
        <v>20</v>
      </c>
      <c r="F47" t="s">
        <v>171</v>
      </c>
      <c r="G47" s="2">
        <v>320</v>
      </c>
      <c r="H47">
        <v>1</v>
      </c>
      <c r="I47" s="3">
        <v>0</v>
      </c>
      <c r="J47" s="2">
        <v>210</v>
      </c>
      <c r="K47" s="13">
        <f>VenteRetails[[#This Row],[Prix_Unitaire]]*VenteRetails[[#This Row],[Quantite]]</f>
        <v>320</v>
      </c>
      <c r="L47" s="13">
        <f>VenteRetails[[#This Row],[Prix_Unitaire]]*VenteRetails[[#This Row],[Quantite]]*(1-VenteRetails[[#This Row],[Remise]])</f>
        <v>320</v>
      </c>
      <c r="M47" s="13">
        <f>VenteRetails[[#This Row],[CA Net]]-(VenteRetails[[#This Row],[Cout_Unitaire]]*VenteRetails[[#This Row],[Quantite]])</f>
        <v>110</v>
      </c>
    </row>
    <row r="48" spans="1:13" x14ac:dyDescent="0.25">
      <c r="A48" t="s">
        <v>97</v>
      </c>
      <c r="B48" s="1">
        <v>45800</v>
      </c>
      <c r="C48" t="s">
        <v>66</v>
      </c>
      <c r="D48" t="s">
        <v>23</v>
      </c>
      <c r="E48" t="s">
        <v>24</v>
      </c>
      <c r="F48" t="s">
        <v>25</v>
      </c>
      <c r="G48" s="2">
        <v>25</v>
      </c>
      <c r="H48">
        <v>2</v>
      </c>
      <c r="I48" s="3">
        <v>0</v>
      </c>
      <c r="J48" s="2">
        <v>10</v>
      </c>
      <c r="K48" s="13">
        <f>VenteRetails[[#This Row],[Prix_Unitaire]]*VenteRetails[[#This Row],[Quantite]]</f>
        <v>50</v>
      </c>
      <c r="L48" s="13">
        <f>VenteRetails[[#This Row],[Prix_Unitaire]]*VenteRetails[[#This Row],[Quantite]]*(1-VenteRetails[[#This Row],[Remise]])</f>
        <v>50</v>
      </c>
      <c r="M48" s="13">
        <f>VenteRetails[[#This Row],[CA Net]]-(VenteRetails[[#This Row],[Cout_Unitaire]]*VenteRetails[[#This Row],[Quantite]])</f>
        <v>30</v>
      </c>
    </row>
    <row r="49" spans="1:13" x14ac:dyDescent="0.25">
      <c r="A49" t="s">
        <v>98</v>
      </c>
      <c r="B49" s="1">
        <v>45804</v>
      </c>
      <c r="C49" t="s">
        <v>68</v>
      </c>
      <c r="D49" t="s">
        <v>30</v>
      </c>
      <c r="E49" t="s">
        <v>169</v>
      </c>
      <c r="F49" t="s">
        <v>56</v>
      </c>
      <c r="G49" s="2">
        <v>75</v>
      </c>
      <c r="H49">
        <v>2</v>
      </c>
      <c r="I49" s="3">
        <v>0.1</v>
      </c>
      <c r="J49" s="2">
        <v>40</v>
      </c>
      <c r="K49" s="13">
        <f>VenteRetails[[#This Row],[Prix_Unitaire]]*VenteRetails[[#This Row],[Quantite]]</f>
        <v>150</v>
      </c>
      <c r="L49" s="13">
        <f>VenteRetails[[#This Row],[Prix_Unitaire]]*VenteRetails[[#This Row],[Quantite]]*(1-VenteRetails[[#This Row],[Remise]])</f>
        <v>135</v>
      </c>
      <c r="M49" s="13">
        <f>VenteRetails[[#This Row],[CA Net]]-(VenteRetails[[#This Row],[Cout_Unitaire]]*VenteRetails[[#This Row],[Quantite]])</f>
        <v>55</v>
      </c>
    </row>
    <row r="50" spans="1:13" x14ac:dyDescent="0.25">
      <c r="A50" t="s">
        <v>99</v>
      </c>
      <c r="B50" s="1">
        <v>45806</v>
      </c>
      <c r="C50" t="s">
        <v>70</v>
      </c>
      <c r="D50" t="s">
        <v>167</v>
      </c>
      <c r="E50" t="s">
        <v>15</v>
      </c>
      <c r="F50" t="s">
        <v>51</v>
      </c>
      <c r="G50" s="2">
        <v>40</v>
      </c>
      <c r="H50">
        <v>3</v>
      </c>
      <c r="I50" s="3">
        <v>0</v>
      </c>
      <c r="J50" s="2">
        <v>22</v>
      </c>
      <c r="K50" s="13">
        <f>VenteRetails[[#This Row],[Prix_Unitaire]]*VenteRetails[[#This Row],[Quantite]]</f>
        <v>120</v>
      </c>
      <c r="L50" s="13">
        <f>VenteRetails[[#This Row],[Prix_Unitaire]]*VenteRetails[[#This Row],[Quantite]]*(1-VenteRetails[[#This Row],[Remise]])</f>
        <v>120</v>
      </c>
      <c r="M50" s="13">
        <f>VenteRetails[[#This Row],[CA Net]]-(VenteRetails[[#This Row],[Cout_Unitaire]]*VenteRetails[[#This Row],[Quantite]])</f>
        <v>54</v>
      </c>
    </row>
    <row r="51" spans="1:13" x14ac:dyDescent="0.25">
      <c r="A51" t="s">
        <v>100</v>
      </c>
      <c r="B51" s="1">
        <v>45808</v>
      </c>
      <c r="C51" t="s">
        <v>72</v>
      </c>
      <c r="D51" t="s">
        <v>168</v>
      </c>
      <c r="E51" t="s">
        <v>20</v>
      </c>
      <c r="F51" t="s">
        <v>34</v>
      </c>
      <c r="G51" s="2">
        <v>45</v>
      </c>
      <c r="H51">
        <v>4</v>
      </c>
      <c r="I51" s="3">
        <v>0.05</v>
      </c>
      <c r="J51" s="2">
        <v>20</v>
      </c>
      <c r="K51" s="13">
        <f>VenteRetails[[#This Row],[Prix_Unitaire]]*VenteRetails[[#This Row],[Quantite]]</f>
        <v>180</v>
      </c>
      <c r="L51" s="13">
        <f>VenteRetails[[#This Row],[Prix_Unitaire]]*VenteRetails[[#This Row],[Quantite]]*(1-VenteRetails[[#This Row],[Remise]])</f>
        <v>171</v>
      </c>
      <c r="M51" s="13">
        <f>VenteRetails[[#This Row],[CA Net]]-(VenteRetails[[#This Row],[Cout_Unitaire]]*VenteRetails[[#This Row],[Quantite]])</f>
        <v>91</v>
      </c>
    </row>
    <row r="52" spans="1:13" x14ac:dyDescent="0.25">
      <c r="A52" t="s">
        <v>101</v>
      </c>
      <c r="B52" s="1">
        <v>45811</v>
      </c>
      <c r="C52" t="s">
        <v>74</v>
      </c>
      <c r="D52" t="s">
        <v>19</v>
      </c>
      <c r="E52" t="s">
        <v>24</v>
      </c>
      <c r="F52" t="s">
        <v>45</v>
      </c>
      <c r="G52" s="2">
        <v>35</v>
      </c>
      <c r="H52">
        <v>1</v>
      </c>
      <c r="I52" s="3">
        <v>0</v>
      </c>
      <c r="J52" s="2">
        <v>18</v>
      </c>
      <c r="K52" s="13">
        <f>VenteRetails[[#This Row],[Prix_Unitaire]]*VenteRetails[[#This Row],[Quantite]]</f>
        <v>35</v>
      </c>
      <c r="L52" s="13">
        <f>VenteRetails[[#This Row],[Prix_Unitaire]]*VenteRetails[[#This Row],[Quantite]]*(1-VenteRetails[[#This Row],[Remise]])</f>
        <v>35</v>
      </c>
      <c r="M52" s="13">
        <f>VenteRetails[[#This Row],[CA Net]]-(VenteRetails[[#This Row],[Cout_Unitaire]]*VenteRetails[[#This Row],[Quantite]])</f>
        <v>17</v>
      </c>
    </row>
    <row r="53" spans="1:13" x14ac:dyDescent="0.25">
      <c r="A53" t="s">
        <v>102</v>
      </c>
      <c r="B53" s="1">
        <v>45814</v>
      </c>
      <c r="C53" t="s">
        <v>76</v>
      </c>
      <c r="D53" t="s">
        <v>23</v>
      </c>
      <c r="E53" t="s">
        <v>169</v>
      </c>
      <c r="F53" t="s">
        <v>48</v>
      </c>
      <c r="G53" s="2">
        <v>90</v>
      </c>
      <c r="H53">
        <v>3</v>
      </c>
      <c r="I53" s="3">
        <v>0.1</v>
      </c>
      <c r="J53" s="2">
        <v>50</v>
      </c>
      <c r="K53" s="13">
        <f>VenteRetails[[#This Row],[Prix_Unitaire]]*VenteRetails[[#This Row],[Quantite]]</f>
        <v>270</v>
      </c>
      <c r="L53" s="13">
        <f>VenteRetails[[#This Row],[Prix_Unitaire]]*VenteRetails[[#This Row],[Quantite]]*(1-VenteRetails[[#This Row],[Remise]])</f>
        <v>243</v>
      </c>
      <c r="M53" s="13">
        <f>VenteRetails[[#This Row],[CA Net]]-(VenteRetails[[#This Row],[Cout_Unitaire]]*VenteRetails[[#This Row],[Quantite]])</f>
        <v>93</v>
      </c>
    </row>
    <row r="54" spans="1:13" x14ac:dyDescent="0.25">
      <c r="A54" t="s">
        <v>103</v>
      </c>
      <c r="B54" s="1">
        <v>45818</v>
      </c>
      <c r="C54" t="s">
        <v>11</v>
      </c>
      <c r="D54" t="s">
        <v>30</v>
      </c>
      <c r="E54" t="s">
        <v>15</v>
      </c>
      <c r="F54" t="s">
        <v>31</v>
      </c>
      <c r="G54" s="2">
        <v>450</v>
      </c>
      <c r="H54">
        <v>1</v>
      </c>
      <c r="I54" s="3">
        <v>0</v>
      </c>
      <c r="J54" s="2">
        <v>280</v>
      </c>
      <c r="K54" s="13">
        <f>VenteRetails[[#This Row],[Prix_Unitaire]]*VenteRetails[[#This Row],[Quantite]]</f>
        <v>450</v>
      </c>
      <c r="L54" s="13">
        <f>VenteRetails[[#This Row],[Prix_Unitaire]]*VenteRetails[[#This Row],[Quantite]]*(1-VenteRetails[[#This Row],[Remise]])</f>
        <v>450</v>
      </c>
      <c r="M54" s="13">
        <f>VenteRetails[[#This Row],[CA Net]]-(VenteRetails[[#This Row],[Cout_Unitaire]]*VenteRetails[[#This Row],[Quantite]])</f>
        <v>170</v>
      </c>
    </row>
    <row r="55" spans="1:13" x14ac:dyDescent="0.25">
      <c r="A55" t="s">
        <v>104</v>
      </c>
      <c r="B55" s="1">
        <v>45822</v>
      </c>
      <c r="C55" t="s">
        <v>14</v>
      </c>
      <c r="D55" t="s">
        <v>167</v>
      </c>
      <c r="E55" t="s">
        <v>20</v>
      </c>
      <c r="F55" t="s">
        <v>170</v>
      </c>
      <c r="G55" s="2">
        <v>85</v>
      </c>
      <c r="H55">
        <v>2</v>
      </c>
      <c r="I55" s="3">
        <v>0.05</v>
      </c>
      <c r="J55" s="2">
        <v>45</v>
      </c>
      <c r="K55" s="13">
        <f>VenteRetails[[#This Row],[Prix_Unitaire]]*VenteRetails[[#This Row],[Quantite]]</f>
        <v>170</v>
      </c>
      <c r="L55" s="13">
        <f>VenteRetails[[#This Row],[Prix_Unitaire]]*VenteRetails[[#This Row],[Quantite]]*(1-VenteRetails[[#This Row],[Remise]])</f>
        <v>161.5</v>
      </c>
      <c r="M55" s="13">
        <f>VenteRetails[[#This Row],[CA Net]]-(VenteRetails[[#This Row],[Cout_Unitaire]]*VenteRetails[[#This Row],[Quantite]])</f>
        <v>71.5</v>
      </c>
    </row>
    <row r="56" spans="1:13" x14ac:dyDescent="0.25">
      <c r="A56" t="s">
        <v>105</v>
      </c>
      <c r="B56" s="1">
        <v>45826</v>
      </c>
      <c r="C56" t="s">
        <v>18</v>
      </c>
      <c r="D56" t="s">
        <v>168</v>
      </c>
      <c r="E56" t="s">
        <v>24</v>
      </c>
      <c r="F56" t="s">
        <v>172</v>
      </c>
      <c r="G56" s="2">
        <v>15</v>
      </c>
      <c r="H56">
        <v>15</v>
      </c>
      <c r="I56" s="3">
        <v>0.25</v>
      </c>
      <c r="J56" s="2">
        <v>5</v>
      </c>
      <c r="K56" s="13">
        <f>VenteRetails[[#This Row],[Prix_Unitaire]]*VenteRetails[[#This Row],[Quantite]]</f>
        <v>225</v>
      </c>
      <c r="L56" s="13">
        <f>VenteRetails[[#This Row],[Prix_Unitaire]]*VenteRetails[[#This Row],[Quantite]]*(1-VenteRetails[[#This Row],[Remise]])</f>
        <v>168.75</v>
      </c>
      <c r="M56" s="13">
        <f>VenteRetails[[#This Row],[CA Net]]-(VenteRetails[[#This Row],[Cout_Unitaire]]*VenteRetails[[#This Row],[Quantite]])</f>
        <v>93.75</v>
      </c>
    </row>
    <row r="57" spans="1:13" x14ac:dyDescent="0.25">
      <c r="A57" t="s">
        <v>106</v>
      </c>
      <c r="B57" s="1">
        <v>45829</v>
      </c>
      <c r="C57" t="s">
        <v>22</v>
      </c>
      <c r="D57" t="s">
        <v>19</v>
      </c>
      <c r="E57" t="s">
        <v>169</v>
      </c>
      <c r="F57" t="s">
        <v>12</v>
      </c>
      <c r="G57" s="2">
        <v>120</v>
      </c>
      <c r="H57">
        <v>2</v>
      </c>
      <c r="I57" s="3">
        <v>0</v>
      </c>
      <c r="J57" s="2">
        <v>70</v>
      </c>
      <c r="K57" s="13">
        <f>VenteRetails[[#This Row],[Prix_Unitaire]]*VenteRetails[[#This Row],[Quantite]]</f>
        <v>240</v>
      </c>
      <c r="L57" s="13">
        <f>VenteRetails[[#This Row],[Prix_Unitaire]]*VenteRetails[[#This Row],[Quantite]]*(1-VenteRetails[[#This Row],[Remise]])</f>
        <v>240</v>
      </c>
      <c r="M57" s="13">
        <f>VenteRetails[[#This Row],[CA Net]]-(VenteRetails[[#This Row],[Cout_Unitaire]]*VenteRetails[[#This Row],[Quantite]])</f>
        <v>100</v>
      </c>
    </row>
    <row r="58" spans="1:13" x14ac:dyDescent="0.25">
      <c r="A58" t="s">
        <v>107</v>
      </c>
      <c r="B58" s="1">
        <v>45832</v>
      </c>
      <c r="C58" t="s">
        <v>27</v>
      </c>
      <c r="D58" t="s">
        <v>23</v>
      </c>
      <c r="E58" t="s">
        <v>15</v>
      </c>
      <c r="F58" t="s">
        <v>16</v>
      </c>
      <c r="G58" s="2">
        <v>250</v>
      </c>
      <c r="H58">
        <v>1</v>
      </c>
      <c r="I58" s="3">
        <v>0.05</v>
      </c>
      <c r="J58" s="2">
        <v>150</v>
      </c>
      <c r="K58" s="13">
        <f>VenteRetails[[#This Row],[Prix_Unitaire]]*VenteRetails[[#This Row],[Quantite]]</f>
        <v>250</v>
      </c>
      <c r="L58" s="13">
        <f>VenteRetails[[#This Row],[Prix_Unitaire]]*VenteRetails[[#This Row],[Quantite]]*(1-VenteRetails[[#This Row],[Remise]])</f>
        <v>237.5</v>
      </c>
      <c r="M58" s="13">
        <f>VenteRetails[[#This Row],[CA Net]]-(VenteRetails[[#This Row],[Cout_Unitaire]]*VenteRetails[[#This Row],[Quantite]])</f>
        <v>87.5</v>
      </c>
    </row>
    <row r="59" spans="1:13" x14ac:dyDescent="0.25">
      <c r="A59" t="s">
        <v>108</v>
      </c>
      <c r="B59" s="1">
        <v>45835</v>
      </c>
      <c r="C59" t="s">
        <v>29</v>
      </c>
      <c r="D59" t="s">
        <v>30</v>
      </c>
      <c r="E59" t="s">
        <v>20</v>
      </c>
      <c r="F59" t="s">
        <v>171</v>
      </c>
      <c r="G59" s="2">
        <v>320</v>
      </c>
      <c r="H59">
        <v>2</v>
      </c>
      <c r="I59" s="3">
        <v>0.1</v>
      </c>
      <c r="J59" s="2">
        <v>210</v>
      </c>
      <c r="K59" s="13">
        <f>VenteRetails[[#This Row],[Prix_Unitaire]]*VenteRetails[[#This Row],[Quantite]]</f>
        <v>640</v>
      </c>
      <c r="L59" s="13">
        <f>VenteRetails[[#This Row],[Prix_Unitaire]]*VenteRetails[[#This Row],[Quantite]]*(1-VenteRetails[[#This Row],[Remise]])</f>
        <v>576</v>
      </c>
      <c r="M59" s="13">
        <f>VenteRetails[[#This Row],[CA Net]]-(VenteRetails[[#This Row],[Cout_Unitaire]]*VenteRetails[[#This Row],[Quantite]])</f>
        <v>156</v>
      </c>
    </row>
    <row r="60" spans="1:13" x14ac:dyDescent="0.25">
      <c r="A60" t="s">
        <v>109</v>
      </c>
      <c r="B60" s="1">
        <v>45837</v>
      </c>
      <c r="C60" t="s">
        <v>33</v>
      </c>
      <c r="D60" t="s">
        <v>167</v>
      </c>
      <c r="E60" t="s">
        <v>24</v>
      </c>
      <c r="F60" t="s">
        <v>25</v>
      </c>
      <c r="G60" s="2">
        <v>25</v>
      </c>
      <c r="H60">
        <v>3</v>
      </c>
      <c r="I60" s="3">
        <v>0</v>
      </c>
      <c r="J60" s="2">
        <v>10</v>
      </c>
      <c r="K60" s="13">
        <f>VenteRetails[[#This Row],[Prix_Unitaire]]*VenteRetails[[#This Row],[Quantite]]</f>
        <v>75</v>
      </c>
      <c r="L60" s="13">
        <f>VenteRetails[[#This Row],[Prix_Unitaire]]*VenteRetails[[#This Row],[Quantite]]*(1-VenteRetails[[#This Row],[Remise]])</f>
        <v>75</v>
      </c>
      <c r="M60" s="13">
        <f>VenteRetails[[#This Row],[CA Net]]-(VenteRetails[[#This Row],[Cout_Unitaire]]*VenteRetails[[#This Row],[Quantite]])</f>
        <v>45</v>
      </c>
    </row>
    <row r="61" spans="1:13" x14ac:dyDescent="0.25">
      <c r="A61" t="s">
        <v>110</v>
      </c>
      <c r="B61" s="1">
        <v>45838</v>
      </c>
      <c r="C61" t="s">
        <v>36</v>
      </c>
      <c r="D61" t="s">
        <v>168</v>
      </c>
      <c r="E61" t="s">
        <v>169</v>
      </c>
      <c r="F61" t="s">
        <v>56</v>
      </c>
      <c r="G61" s="2">
        <v>75</v>
      </c>
      <c r="H61">
        <v>1</v>
      </c>
      <c r="I61" s="3">
        <v>0</v>
      </c>
      <c r="J61" s="2">
        <v>40</v>
      </c>
      <c r="K61" s="13">
        <f>VenteRetails[[#This Row],[Prix_Unitaire]]*VenteRetails[[#This Row],[Quantite]]</f>
        <v>75</v>
      </c>
      <c r="L61" s="13">
        <f>VenteRetails[[#This Row],[Prix_Unitaire]]*VenteRetails[[#This Row],[Quantite]]*(1-VenteRetails[[#This Row],[Remise]])</f>
        <v>75</v>
      </c>
      <c r="M61" s="13">
        <f>VenteRetails[[#This Row],[CA Net]]-(VenteRetails[[#This Row],[Cout_Unitaire]]*VenteRetails[[#This Row],[Quantite]])</f>
        <v>35</v>
      </c>
    </row>
    <row r="62" spans="1:13" x14ac:dyDescent="0.25">
      <c r="A62" t="s">
        <v>111</v>
      </c>
      <c r="B62" s="1">
        <v>45840</v>
      </c>
      <c r="C62" t="s">
        <v>38</v>
      </c>
      <c r="D62" t="s">
        <v>19</v>
      </c>
      <c r="E62" t="s">
        <v>15</v>
      </c>
      <c r="F62" t="s">
        <v>51</v>
      </c>
      <c r="G62" s="2">
        <v>40</v>
      </c>
      <c r="H62">
        <v>2</v>
      </c>
      <c r="I62" s="3">
        <v>0.05</v>
      </c>
      <c r="J62" s="2">
        <v>22</v>
      </c>
      <c r="K62" s="13">
        <f>VenteRetails[[#This Row],[Prix_Unitaire]]*VenteRetails[[#This Row],[Quantite]]</f>
        <v>80</v>
      </c>
      <c r="L62" s="13">
        <f>VenteRetails[[#This Row],[Prix_Unitaire]]*VenteRetails[[#This Row],[Quantite]]*(1-VenteRetails[[#This Row],[Remise]])</f>
        <v>76</v>
      </c>
      <c r="M62" s="13">
        <f>VenteRetails[[#This Row],[CA Net]]-(VenteRetails[[#This Row],[Cout_Unitaire]]*VenteRetails[[#This Row],[Quantite]])</f>
        <v>32</v>
      </c>
    </row>
    <row r="63" spans="1:13" x14ac:dyDescent="0.25">
      <c r="A63" t="s">
        <v>112</v>
      </c>
      <c r="B63" s="1">
        <v>45843</v>
      </c>
      <c r="C63" t="s">
        <v>40</v>
      </c>
      <c r="D63" t="s">
        <v>23</v>
      </c>
      <c r="E63" t="s">
        <v>20</v>
      </c>
      <c r="F63" t="s">
        <v>34</v>
      </c>
      <c r="G63" s="2">
        <v>45</v>
      </c>
      <c r="H63">
        <v>6</v>
      </c>
      <c r="I63" s="3">
        <v>0.1</v>
      </c>
      <c r="J63" s="2">
        <v>20</v>
      </c>
      <c r="K63" s="13">
        <f>VenteRetails[[#This Row],[Prix_Unitaire]]*VenteRetails[[#This Row],[Quantite]]</f>
        <v>270</v>
      </c>
      <c r="L63" s="13">
        <f>VenteRetails[[#This Row],[Prix_Unitaire]]*VenteRetails[[#This Row],[Quantite]]*(1-VenteRetails[[#This Row],[Remise]])</f>
        <v>243</v>
      </c>
      <c r="M63" s="13">
        <f>VenteRetails[[#This Row],[CA Net]]-(VenteRetails[[#This Row],[Cout_Unitaire]]*VenteRetails[[#This Row],[Quantite]])</f>
        <v>123</v>
      </c>
    </row>
    <row r="64" spans="1:13" x14ac:dyDescent="0.25">
      <c r="A64" t="s">
        <v>113</v>
      </c>
      <c r="B64" s="1">
        <v>45847</v>
      </c>
      <c r="C64" t="s">
        <v>42</v>
      </c>
      <c r="D64" t="s">
        <v>30</v>
      </c>
      <c r="E64" t="s">
        <v>24</v>
      </c>
      <c r="F64" t="s">
        <v>45</v>
      </c>
      <c r="G64" s="2">
        <v>35</v>
      </c>
      <c r="H64">
        <v>4</v>
      </c>
      <c r="I64" s="3">
        <v>0</v>
      </c>
      <c r="J64" s="2">
        <v>18</v>
      </c>
      <c r="K64" s="13">
        <f>VenteRetails[[#This Row],[Prix_Unitaire]]*VenteRetails[[#This Row],[Quantite]]</f>
        <v>140</v>
      </c>
      <c r="L64" s="13">
        <f>VenteRetails[[#This Row],[Prix_Unitaire]]*VenteRetails[[#This Row],[Quantite]]*(1-VenteRetails[[#This Row],[Remise]])</f>
        <v>140</v>
      </c>
      <c r="M64" s="13">
        <f>VenteRetails[[#This Row],[CA Net]]-(VenteRetails[[#This Row],[Cout_Unitaire]]*VenteRetails[[#This Row],[Quantite]])</f>
        <v>68</v>
      </c>
    </row>
    <row r="65" spans="1:13" x14ac:dyDescent="0.25">
      <c r="A65" t="s">
        <v>114</v>
      </c>
      <c r="B65" s="1">
        <v>45850</v>
      </c>
      <c r="C65" t="s">
        <v>44</v>
      </c>
      <c r="D65" t="s">
        <v>167</v>
      </c>
      <c r="E65" t="s">
        <v>169</v>
      </c>
      <c r="F65" t="s">
        <v>48</v>
      </c>
      <c r="G65" s="2">
        <v>90</v>
      </c>
      <c r="H65">
        <v>1</v>
      </c>
      <c r="I65" s="3">
        <v>0</v>
      </c>
      <c r="J65" s="2">
        <v>50</v>
      </c>
      <c r="K65" s="13">
        <f>VenteRetails[[#This Row],[Prix_Unitaire]]*VenteRetails[[#This Row],[Quantite]]</f>
        <v>90</v>
      </c>
      <c r="L65" s="13">
        <f>VenteRetails[[#This Row],[Prix_Unitaire]]*VenteRetails[[#This Row],[Quantite]]*(1-VenteRetails[[#This Row],[Remise]])</f>
        <v>90</v>
      </c>
      <c r="M65" s="13">
        <f>VenteRetails[[#This Row],[CA Net]]-(VenteRetails[[#This Row],[Cout_Unitaire]]*VenteRetails[[#This Row],[Quantite]])</f>
        <v>40</v>
      </c>
    </row>
    <row r="66" spans="1:13" x14ac:dyDescent="0.25">
      <c r="A66" t="s">
        <v>115</v>
      </c>
      <c r="B66" s="1">
        <v>45853</v>
      </c>
      <c r="C66" t="s">
        <v>47</v>
      </c>
      <c r="D66" t="s">
        <v>168</v>
      </c>
      <c r="E66" t="s">
        <v>15</v>
      </c>
      <c r="F66" t="s">
        <v>31</v>
      </c>
      <c r="G66" s="2">
        <v>450</v>
      </c>
      <c r="H66">
        <v>2</v>
      </c>
      <c r="I66" s="3">
        <v>0.15</v>
      </c>
      <c r="J66" s="2">
        <v>280</v>
      </c>
      <c r="K66" s="13">
        <f>VenteRetails[[#This Row],[Prix_Unitaire]]*VenteRetails[[#This Row],[Quantite]]</f>
        <v>900</v>
      </c>
      <c r="L66" s="13">
        <f>VenteRetails[[#This Row],[Prix_Unitaire]]*VenteRetails[[#This Row],[Quantite]]*(1-VenteRetails[[#This Row],[Remise]])</f>
        <v>765</v>
      </c>
      <c r="M66" s="13">
        <f>VenteRetails[[#This Row],[CA Net]]-(VenteRetails[[#This Row],[Cout_Unitaire]]*VenteRetails[[#This Row],[Quantite]])</f>
        <v>205</v>
      </c>
    </row>
    <row r="67" spans="1:13" x14ac:dyDescent="0.25">
      <c r="A67" t="s">
        <v>116</v>
      </c>
      <c r="B67" s="1">
        <v>45857</v>
      </c>
      <c r="C67" t="s">
        <v>50</v>
      </c>
      <c r="D67" t="s">
        <v>19</v>
      </c>
      <c r="E67" t="s">
        <v>20</v>
      </c>
      <c r="F67" t="s">
        <v>170</v>
      </c>
      <c r="G67" s="2">
        <v>85</v>
      </c>
      <c r="H67">
        <v>1</v>
      </c>
      <c r="I67" s="3">
        <v>0</v>
      </c>
      <c r="J67" s="2">
        <v>45</v>
      </c>
      <c r="K67" s="13">
        <f>VenteRetails[[#This Row],[Prix_Unitaire]]*VenteRetails[[#This Row],[Quantite]]</f>
        <v>85</v>
      </c>
      <c r="L67" s="13">
        <f>VenteRetails[[#This Row],[Prix_Unitaire]]*VenteRetails[[#This Row],[Quantite]]*(1-VenteRetails[[#This Row],[Remise]])</f>
        <v>85</v>
      </c>
      <c r="M67" s="13">
        <f>VenteRetails[[#This Row],[CA Net]]-(VenteRetails[[#This Row],[Cout_Unitaire]]*VenteRetails[[#This Row],[Quantite]])</f>
        <v>40</v>
      </c>
    </row>
    <row r="68" spans="1:13" x14ac:dyDescent="0.25">
      <c r="A68" t="s">
        <v>117</v>
      </c>
      <c r="B68" s="1">
        <v>45860</v>
      </c>
      <c r="C68" t="s">
        <v>53</v>
      </c>
      <c r="D68" t="s">
        <v>23</v>
      </c>
      <c r="E68" t="s">
        <v>24</v>
      </c>
      <c r="F68" t="s">
        <v>172</v>
      </c>
      <c r="G68" s="2">
        <v>15</v>
      </c>
      <c r="H68">
        <v>6</v>
      </c>
      <c r="I68" s="3">
        <v>0</v>
      </c>
      <c r="J68" s="2">
        <v>5</v>
      </c>
      <c r="K68" s="13">
        <f>VenteRetails[[#This Row],[Prix_Unitaire]]*VenteRetails[[#This Row],[Quantite]]</f>
        <v>90</v>
      </c>
      <c r="L68" s="13">
        <f>VenteRetails[[#This Row],[Prix_Unitaire]]*VenteRetails[[#This Row],[Quantite]]*(1-VenteRetails[[#This Row],[Remise]])</f>
        <v>90</v>
      </c>
      <c r="M68" s="13">
        <f>VenteRetails[[#This Row],[CA Net]]-(VenteRetails[[#This Row],[Cout_Unitaire]]*VenteRetails[[#This Row],[Quantite]])</f>
        <v>60</v>
      </c>
    </row>
    <row r="69" spans="1:13" x14ac:dyDescent="0.25">
      <c r="A69" t="s">
        <v>118</v>
      </c>
      <c r="B69" s="1">
        <v>45863</v>
      </c>
      <c r="C69" t="s">
        <v>55</v>
      </c>
      <c r="D69" t="s">
        <v>30</v>
      </c>
      <c r="E69" t="s">
        <v>169</v>
      </c>
      <c r="F69" t="s">
        <v>12</v>
      </c>
      <c r="G69" s="2">
        <v>120</v>
      </c>
      <c r="H69">
        <v>3</v>
      </c>
      <c r="I69" s="3">
        <v>0.1</v>
      </c>
      <c r="J69" s="2">
        <v>70</v>
      </c>
      <c r="K69" s="13">
        <f>VenteRetails[[#This Row],[Prix_Unitaire]]*VenteRetails[[#This Row],[Quantite]]</f>
        <v>360</v>
      </c>
      <c r="L69" s="13">
        <f>VenteRetails[[#This Row],[Prix_Unitaire]]*VenteRetails[[#This Row],[Quantite]]*(1-VenteRetails[[#This Row],[Remise]])</f>
        <v>324</v>
      </c>
      <c r="M69" s="13">
        <f>VenteRetails[[#This Row],[CA Net]]-(VenteRetails[[#This Row],[Cout_Unitaire]]*VenteRetails[[#This Row],[Quantite]])</f>
        <v>114</v>
      </c>
    </row>
    <row r="70" spans="1:13" x14ac:dyDescent="0.25">
      <c r="A70" t="s">
        <v>119</v>
      </c>
      <c r="B70" s="1">
        <v>45866</v>
      </c>
      <c r="C70" t="s">
        <v>58</v>
      </c>
      <c r="D70" t="s">
        <v>167</v>
      </c>
      <c r="E70" t="s">
        <v>15</v>
      </c>
      <c r="F70" t="s">
        <v>16</v>
      </c>
      <c r="G70" s="2">
        <v>250</v>
      </c>
      <c r="H70">
        <v>2</v>
      </c>
      <c r="I70" s="3">
        <v>0</v>
      </c>
      <c r="J70" s="2">
        <v>150</v>
      </c>
      <c r="K70" s="13">
        <f>VenteRetails[[#This Row],[Prix_Unitaire]]*VenteRetails[[#This Row],[Quantite]]</f>
        <v>500</v>
      </c>
      <c r="L70" s="13">
        <f>VenteRetails[[#This Row],[Prix_Unitaire]]*VenteRetails[[#This Row],[Quantite]]*(1-VenteRetails[[#This Row],[Remise]])</f>
        <v>500</v>
      </c>
      <c r="M70" s="13">
        <f>VenteRetails[[#This Row],[CA Net]]-(VenteRetails[[#This Row],[Cout_Unitaire]]*VenteRetails[[#This Row],[Quantite]])</f>
        <v>200</v>
      </c>
    </row>
    <row r="71" spans="1:13" x14ac:dyDescent="0.25">
      <c r="A71" t="s">
        <v>120</v>
      </c>
      <c r="B71" s="1">
        <v>45869</v>
      </c>
      <c r="C71" t="s">
        <v>60</v>
      </c>
      <c r="D71" t="s">
        <v>168</v>
      </c>
      <c r="E71" t="s">
        <v>20</v>
      </c>
      <c r="F71" t="s">
        <v>171</v>
      </c>
      <c r="G71" s="2">
        <v>320</v>
      </c>
      <c r="H71">
        <v>1</v>
      </c>
      <c r="I71" s="3">
        <v>0.05</v>
      </c>
      <c r="J71" s="2">
        <v>210</v>
      </c>
      <c r="K71" s="13">
        <f>VenteRetails[[#This Row],[Prix_Unitaire]]*VenteRetails[[#This Row],[Quantite]]</f>
        <v>320</v>
      </c>
      <c r="L71" s="13">
        <f>VenteRetails[[#This Row],[Prix_Unitaire]]*VenteRetails[[#This Row],[Quantite]]*(1-VenteRetails[[#This Row],[Remise]])</f>
        <v>304</v>
      </c>
      <c r="M71" s="13">
        <f>VenteRetails[[#This Row],[CA Net]]-(VenteRetails[[#This Row],[Cout_Unitaire]]*VenteRetails[[#This Row],[Quantite]])</f>
        <v>94</v>
      </c>
    </row>
    <row r="72" spans="1:13" x14ac:dyDescent="0.25">
      <c r="A72" t="s">
        <v>121</v>
      </c>
      <c r="B72" s="1">
        <v>45872</v>
      </c>
      <c r="C72" t="s">
        <v>62</v>
      </c>
      <c r="D72" t="s">
        <v>19</v>
      </c>
      <c r="E72" t="s">
        <v>24</v>
      </c>
      <c r="F72" t="s">
        <v>25</v>
      </c>
      <c r="G72" s="2">
        <v>25</v>
      </c>
      <c r="H72">
        <v>5</v>
      </c>
      <c r="I72" s="3">
        <v>0</v>
      </c>
      <c r="J72" s="2">
        <v>10</v>
      </c>
      <c r="K72" s="13">
        <f>VenteRetails[[#This Row],[Prix_Unitaire]]*VenteRetails[[#This Row],[Quantite]]</f>
        <v>125</v>
      </c>
      <c r="L72" s="13">
        <f>VenteRetails[[#This Row],[Prix_Unitaire]]*VenteRetails[[#This Row],[Quantite]]*(1-VenteRetails[[#This Row],[Remise]])</f>
        <v>125</v>
      </c>
      <c r="M72" s="13">
        <f>VenteRetails[[#This Row],[CA Net]]-(VenteRetails[[#This Row],[Cout_Unitaire]]*VenteRetails[[#This Row],[Quantite]])</f>
        <v>75</v>
      </c>
    </row>
    <row r="73" spans="1:13" x14ac:dyDescent="0.25">
      <c r="A73" t="s">
        <v>122</v>
      </c>
      <c r="B73" s="1">
        <v>45875</v>
      </c>
      <c r="C73" t="s">
        <v>64</v>
      </c>
      <c r="D73" t="s">
        <v>23</v>
      </c>
      <c r="E73" t="s">
        <v>169</v>
      </c>
      <c r="F73" t="s">
        <v>56</v>
      </c>
      <c r="G73" s="2">
        <v>75</v>
      </c>
      <c r="H73">
        <v>2</v>
      </c>
      <c r="I73" s="3">
        <v>0.05</v>
      </c>
      <c r="J73" s="2">
        <v>40</v>
      </c>
      <c r="K73" s="13">
        <f>VenteRetails[[#This Row],[Prix_Unitaire]]*VenteRetails[[#This Row],[Quantite]]</f>
        <v>150</v>
      </c>
      <c r="L73" s="13">
        <f>VenteRetails[[#This Row],[Prix_Unitaire]]*VenteRetails[[#This Row],[Quantite]]*(1-VenteRetails[[#This Row],[Remise]])</f>
        <v>142.5</v>
      </c>
      <c r="M73" s="13">
        <f>VenteRetails[[#This Row],[CA Net]]-(VenteRetails[[#This Row],[Cout_Unitaire]]*VenteRetails[[#This Row],[Quantite]])</f>
        <v>62.5</v>
      </c>
    </row>
    <row r="74" spans="1:13" x14ac:dyDescent="0.25">
      <c r="A74" t="s">
        <v>123</v>
      </c>
      <c r="B74" s="1">
        <v>45879</v>
      </c>
      <c r="C74" t="s">
        <v>66</v>
      </c>
      <c r="D74" t="s">
        <v>30</v>
      </c>
      <c r="E74" t="s">
        <v>15</v>
      </c>
      <c r="F74" t="s">
        <v>51</v>
      </c>
      <c r="G74" s="2">
        <v>40</v>
      </c>
      <c r="H74">
        <v>1</v>
      </c>
      <c r="I74" s="3">
        <v>0</v>
      </c>
      <c r="J74" s="2">
        <v>22</v>
      </c>
      <c r="K74" s="13">
        <f>VenteRetails[[#This Row],[Prix_Unitaire]]*VenteRetails[[#This Row],[Quantite]]</f>
        <v>40</v>
      </c>
      <c r="L74" s="13">
        <f>VenteRetails[[#This Row],[Prix_Unitaire]]*VenteRetails[[#This Row],[Quantite]]*(1-VenteRetails[[#This Row],[Remise]])</f>
        <v>40</v>
      </c>
      <c r="M74" s="13">
        <f>VenteRetails[[#This Row],[CA Net]]-(VenteRetails[[#This Row],[Cout_Unitaire]]*VenteRetails[[#This Row],[Quantite]])</f>
        <v>18</v>
      </c>
    </row>
    <row r="75" spans="1:13" x14ac:dyDescent="0.25">
      <c r="A75" t="s">
        <v>124</v>
      </c>
      <c r="B75" s="1">
        <v>45883</v>
      </c>
      <c r="C75" t="s">
        <v>68</v>
      </c>
      <c r="D75" t="s">
        <v>167</v>
      </c>
      <c r="E75" t="s">
        <v>20</v>
      </c>
      <c r="F75" t="s">
        <v>34</v>
      </c>
      <c r="G75" s="2">
        <v>45</v>
      </c>
      <c r="H75">
        <v>3</v>
      </c>
      <c r="I75" s="3">
        <v>0</v>
      </c>
      <c r="J75" s="2">
        <v>20</v>
      </c>
      <c r="K75" s="13">
        <f>VenteRetails[[#This Row],[Prix_Unitaire]]*VenteRetails[[#This Row],[Quantite]]</f>
        <v>135</v>
      </c>
      <c r="L75" s="13">
        <f>VenteRetails[[#This Row],[Prix_Unitaire]]*VenteRetails[[#This Row],[Quantite]]*(1-VenteRetails[[#This Row],[Remise]])</f>
        <v>135</v>
      </c>
      <c r="M75" s="13">
        <f>VenteRetails[[#This Row],[CA Net]]-(VenteRetails[[#This Row],[Cout_Unitaire]]*VenteRetails[[#This Row],[Quantite]])</f>
        <v>75</v>
      </c>
    </row>
    <row r="76" spans="1:13" x14ac:dyDescent="0.25">
      <c r="A76" t="s">
        <v>125</v>
      </c>
      <c r="B76" s="1">
        <v>45886</v>
      </c>
      <c r="C76" t="s">
        <v>70</v>
      </c>
      <c r="D76" t="s">
        <v>168</v>
      </c>
      <c r="E76" t="s">
        <v>24</v>
      </c>
      <c r="F76" t="s">
        <v>45</v>
      </c>
      <c r="G76" s="2">
        <v>35</v>
      </c>
      <c r="H76">
        <v>2</v>
      </c>
      <c r="I76" s="3">
        <v>0.1</v>
      </c>
      <c r="J76" s="2">
        <v>18</v>
      </c>
      <c r="K76" s="13">
        <f>VenteRetails[[#This Row],[Prix_Unitaire]]*VenteRetails[[#This Row],[Quantite]]</f>
        <v>70</v>
      </c>
      <c r="L76" s="13">
        <f>VenteRetails[[#This Row],[Prix_Unitaire]]*VenteRetails[[#This Row],[Quantite]]*(1-VenteRetails[[#This Row],[Remise]])</f>
        <v>63</v>
      </c>
      <c r="M76" s="13">
        <f>VenteRetails[[#This Row],[CA Net]]-(VenteRetails[[#This Row],[Cout_Unitaire]]*VenteRetails[[#This Row],[Quantite]])</f>
        <v>27</v>
      </c>
    </row>
    <row r="77" spans="1:13" x14ac:dyDescent="0.25">
      <c r="A77" t="s">
        <v>126</v>
      </c>
      <c r="B77" s="1">
        <v>45889</v>
      </c>
      <c r="C77" t="s">
        <v>72</v>
      </c>
      <c r="D77" t="s">
        <v>19</v>
      </c>
      <c r="E77" t="s">
        <v>169</v>
      </c>
      <c r="F77" t="s">
        <v>48</v>
      </c>
      <c r="G77" s="2">
        <v>90</v>
      </c>
      <c r="H77">
        <v>2</v>
      </c>
      <c r="I77" s="3">
        <v>0</v>
      </c>
      <c r="J77" s="2">
        <v>50</v>
      </c>
      <c r="K77" s="13">
        <f>VenteRetails[[#This Row],[Prix_Unitaire]]*VenteRetails[[#This Row],[Quantite]]</f>
        <v>180</v>
      </c>
      <c r="L77" s="13">
        <f>VenteRetails[[#This Row],[Prix_Unitaire]]*VenteRetails[[#This Row],[Quantite]]*(1-VenteRetails[[#This Row],[Remise]])</f>
        <v>180</v>
      </c>
      <c r="M77" s="13">
        <f>VenteRetails[[#This Row],[CA Net]]-(VenteRetails[[#This Row],[Cout_Unitaire]]*VenteRetails[[#This Row],[Quantite]])</f>
        <v>80</v>
      </c>
    </row>
    <row r="78" spans="1:13" x14ac:dyDescent="0.25">
      <c r="A78" t="s">
        <v>127</v>
      </c>
      <c r="B78" s="1">
        <v>45893</v>
      </c>
      <c r="C78" t="s">
        <v>74</v>
      </c>
      <c r="D78" t="s">
        <v>23</v>
      </c>
      <c r="E78" t="s">
        <v>15</v>
      </c>
      <c r="F78" t="s">
        <v>31</v>
      </c>
      <c r="G78" s="2">
        <v>450</v>
      </c>
      <c r="H78">
        <v>1</v>
      </c>
      <c r="I78" s="3">
        <v>0.05</v>
      </c>
      <c r="J78" s="2">
        <v>280</v>
      </c>
      <c r="K78" s="13">
        <f>VenteRetails[[#This Row],[Prix_Unitaire]]*VenteRetails[[#This Row],[Quantite]]</f>
        <v>450</v>
      </c>
      <c r="L78" s="13">
        <f>VenteRetails[[#This Row],[Prix_Unitaire]]*VenteRetails[[#This Row],[Quantite]]*(1-VenteRetails[[#This Row],[Remise]])</f>
        <v>427.5</v>
      </c>
      <c r="M78" s="13">
        <f>VenteRetails[[#This Row],[CA Net]]-(VenteRetails[[#This Row],[Cout_Unitaire]]*VenteRetails[[#This Row],[Quantite]])</f>
        <v>147.5</v>
      </c>
    </row>
    <row r="79" spans="1:13" x14ac:dyDescent="0.25">
      <c r="A79" t="s">
        <v>128</v>
      </c>
      <c r="B79" s="1">
        <v>45896</v>
      </c>
      <c r="C79" t="s">
        <v>76</v>
      </c>
      <c r="D79" t="s">
        <v>30</v>
      </c>
      <c r="E79" t="s">
        <v>20</v>
      </c>
      <c r="F79" t="s">
        <v>170</v>
      </c>
      <c r="G79" s="2">
        <v>85</v>
      </c>
      <c r="H79">
        <v>4</v>
      </c>
      <c r="I79" s="3">
        <v>0.15</v>
      </c>
      <c r="J79" s="2">
        <v>45</v>
      </c>
      <c r="K79" s="13">
        <f>VenteRetails[[#This Row],[Prix_Unitaire]]*VenteRetails[[#This Row],[Quantite]]</f>
        <v>340</v>
      </c>
      <c r="L79" s="13">
        <f>VenteRetails[[#This Row],[Prix_Unitaire]]*VenteRetails[[#This Row],[Quantite]]*(1-VenteRetails[[#This Row],[Remise]])</f>
        <v>289</v>
      </c>
      <c r="M79" s="13">
        <f>VenteRetails[[#This Row],[CA Net]]-(VenteRetails[[#This Row],[Cout_Unitaire]]*VenteRetails[[#This Row],[Quantite]])</f>
        <v>109</v>
      </c>
    </row>
    <row r="80" spans="1:13" x14ac:dyDescent="0.25">
      <c r="A80" t="s">
        <v>129</v>
      </c>
      <c r="B80" s="1">
        <v>45898</v>
      </c>
      <c r="C80" t="s">
        <v>11</v>
      </c>
      <c r="D80" t="s">
        <v>167</v>
      </c>
      <c r="E80" t="s">
        <v>24</v>
      </c>
      <c r="F80" t="s">
        <v>172</v>
      </c>
      <c r="G80" s="2">
        <v>15</v>
      </c>
      <c r="H80">
        <v>10</v>
      </c>
      <c r="I80" s="3">
        <v>0</v>
      </c>
      <c r="J80" s="2">
        <v>5</v>
      </c>
      <c r="K80" s="13">
        <f>VenteRetails[[#This Row],[Prix_Unitaire]]*VenteRetails[[#This Row],[Quantite]]</f>
        <v>150</v>
      </c>
      <c r="L80" s="13">
        <f>VenteRetails[[#This Row],[Prix_Unitaire]]*VenteRetails[[#This Row],[Quantite]]*(1-VenteRetails[[#This Row],[Remise]])</f>
        <v>150</v>
      </c>
      <c r="M80" s="13">
        <f>VenteRetails[[#This Row],[CA Net]]-(VenteRetails[[#This Row],[Cout_Unitaire]]*VenteRetails[[#This Row],[Quantite]])</f>
        <v>100</v>
      </c>
    </row>
    <row r="81" spans="1:13" x14ac:dyDescent="0.25">
      <c r="A81" t="s">
        <v>130</v>
      </c>
      <c r="B81" s="1">
        <v>45900</v>
      </c>
      <c r="C81" t="s">
        <v>14</v>
      </c>
      <c r="D81" t="s">
        <v>168</v>
      </c>
      <c r="E81" t="s">
        <v>169</v>
      </c>
      <c r="F81" t="s">
        <v>12</v>
      </c>
      <c r="G81" s="2">
        <v>120</v>
      </c>
      <c r="H81">
        <v>1</v>
      </c>
      <c r="I81" s="3">
        <v>0</v>
      </c>
      <c r="J81" s="2">
        <v>70</v>
      </c>
      <c r="K81" s="13">
        <f>VenteRetails[[#This Row],[Prix_Unitaire]]*VenteRetails[[#This Row],[Quantite]]</f>
        <v>120</v>
      </c>
      <c r="L81" s="13">
        <f>VenteRetails[[#This Row],[Prix_Unitaire]]*VenteRetails[[#This Row],[Quantite]]*(1-VenteRetails[[#This Row],[Remise]])</f>
        <v>120</v>
      </c>
      <c r="M81" s="13">
        <f>VenteRetails[[#This Row],[CA Net]]-(VenteRetails[[#This Row],[Cout_Unitaire]]*VenteRetails[[#This Row],[Quantite]])</f>
        <v>50</v>
      </c>
    </row>
    <row r="82" spans="1:13" x14ac:dyDescent="0.25">
      <c r="A82" t="s">
        <v>131</v>
      </c>
      <c r="B82" s="1">
        <v>45903</v>
      </c>
      <c r="C82" t="s">
        <v>18</v>
      </c>
      <c r="D82" t="s">
        <v>19</v>
      </c>
      <c r="E82" t="s">
        <v>15</v>
      </c>
      <c r="F82" t="s">
        <v>16</v>
      </c>
      <c r="G82" s="2">
        <v>250</v>
      </c>
      <c r="H82">
        <v>1</v>
      </c>
      <c r="I82" s="3">
        <v>0.1</v>
      </c>
      <c r="J82" s="2">
        <v>150</v>
      </c>
      <c r="K82" s="13">
        <f>VenteRetails[[#This Row],[Prix_Unitaire]]*VenteRetails[[#This Row],[Quantite]]</f>
        <v>250</v>
      </c>
      <c r="L82" s="13">
        <f>VenteRetails[[#This Row],[Prix_Unitaire]]*VenteRetails[[#This Row],[Quantite]]*(1-VenteRetails[[#This Row],[Remise]])</f>
        <v>225</v>
      </c>
      <c r="M82" s="13">
        <f>VenteRetails[[#This Row],[CA Net]]-(VenteRetails[[#This Row],[Cout_Unitaire]]*VenteRetails[[#This Row],[Quantite]])</f>
        <v>75</v>
      </c>
    </row>
    <row r="83" spans="1:13" x14ac:dyDescent="0.25">
      <c r="A83" t="s">
        <v>132</v>
      </c>
      <c r="B83" s="1">
        <v>45906</v>
      </c>
      <c r="C83" t="s">
        <v>22</v>
      </c>
      <c r="D83" t="s">
        <v>23</v>
      </c>
      <c r="E83" t="s">
        <v>20</v>
      </c>
      <c r="F83" t="s">
        <v>171</v>
      </c>
      <c r="G83" s="2">
        <v>320</v>
      </c>
      <c r="H83">
        <v>3</v>
      </c>
      <c r="I83" s="3">
        <v>0.1</v>
      </c>
      <c r="J83" s="2">
        <v>210</v>
      </c>
      <c r="K83" s="13">
        <f>VenteRetails[[#This Row],[Prix_Unitaire]]*VenteRetails[[#This Row],[Quantite]]</f>
        <v>960</v>
      </c>
      <c r="L83" s="13">
        <f>VenteRetails[[#This Row],[Prix_Unitaire]]*VenteRetails[[#This Row],[Quantite]]*(1-VenteRetails[[#This Row],[Remise]])</f>
        <v>864</v>
      </c>
      <c r="M83" s="13">
        <f>VenteRetails[[#This Row],[CA Net]]-(VenteRetails[[#This Row],[Cout_Unitaire]]*VenteRetails[[#This Row],[Quantite]])</f>
        <v>234</v>
      </c>
    </row>
    <row r="84" spans="1:13" x14ac:dyDescent="0.25">
      <c r="A84" t="s">
        <v>133</v>
      </c>
      <c r="B84" s="1">
        <v>45910</v>
      </c>
      <c r="C84" t="s">
        <v>27</v>
      </c>
      <c r="D84" t="s">
        <v>30</v>
      </c>
      <c r="E84" t="s">
        <v>24</v>
      </c>
      <c r="F84" t="s">
        <v>25</v>
      </c>
      <c r="G84" s="2">
        <v>25</v>
      </c>
      <c r="H84">
        <v>2</v>
      </c>
      <c r="I84" s="3">
        <v>0</v>
      </c>
      <c r="J84" s="2">
        <v>10</v>
      </c>
      <c r="K84" s="13">
        <f>VenteRetails[[#This Row],[Prix_Unitaire]]*VenteRetails[[#This Row],[Quantite]]</f>
        <v>50</v>
      </c>
      <c r="L84" s="13">
        <f>VenteRetails[[#This Row],[Prix_Unitaire]]*VenteRetails[[#This Row],[Quantite]]*(1-VenteRetails[[#This Row],[Remise]])</f>
        <v>50</v>
      </c>
      <c r="M84" s="13">
        <f>VenteRetails[[#This Row],[CA Net]]-(VenteRetails[[#This Row],[Cout_Unitaire]]*VenteRetails[[#This Row],[Quantite]])</f>
        <v>30</v>
      </c>
    </row>
    <row r="85" spans="1:13" x14ac:dyDescent="0.25">
      <c r="A85" t="s">
        <v>134</v>
      </c>
      <c r="B85" s="1">
        <v>45913</v>
      </c>
      <c r="C85" t="s">
        <v>29</v>
      </c>
      <c r="D85" t="s">
        <v>167</v>
      </c>
      <c r="E85" t="s">
        <v>169</v>
      </c>
      <c r="F85" t="s">
        <v>56</v>
      </c>
      <c r="G85" s="2">
        <v>75</v>
      </c>
      <c r="H85">
        <v>1</v>
      </c>
      <c r="I85" s="3">
        <v>0</v>
      </c>
      <c r="J85" s="2">
        <v>40</v>
      </c>
      <c r="K85" s="13">
        <f>VenteRetails[[#This Row],[Prix_Unitaire]]*VenteRetails[[#This Row],[Quantite]]</f>
        <v>75</v>
      </c>
      <c r="L85" s="13">
        <f>VenteRetails[[#This Row],[Prix_Unitaire]]*VenteRetails[[#This Row],[Quantite]]*(1-VenteRetails[[#This Row],[Remise]])</f>
        <v>75</v>
      </c>
      <c r="M85" s="13">
        <f>VenteRetails[[#This Row],[CA Net]]-(VenteRetails[[#This Row],[Cout_Unitaire]]*VenteRetails[[#This Row],[Quantite]])</f>
        <v>35</v>
      </c>
    </row>
    <row r="86" spans="1:13" x14ac:dyDescent="0.25">
      <c r="A86" t="s">
        <v>135</v>
      </c>
      <c r="B86" s="1">
        <v>45916</v>
      </c>
      <c r="C86" t="s">
        <v>33</v>
      </c>
      <c r="D86" t="s">
        <v>168</v>
      </c>
      <c r="E86" t="s">
        <v>15</v>
      </c>
      <c r="F86" t="s">
        <v>51</v>
      </c>
      <c r="G86" s="2">
        <v>40</v>
      </c>
      <c r="H86">
        <v>4</v>
      </c>
      <c r="I86" s="3">
        <v>0.15</v>
      </c>
      <c r="J86" s="2">
        <v>22</v>
      </c>
      <c r="K86" s="13">
        <f>VenteRetails[[#This Row],[Prix_Unitaire]]*VenteRetails[[#This Row],[Quantite]]</f>
        <v>160</v>
      </c>
      <c r="L86" s="13">
        <f>VenteRetails[[#This Row],[Prix_Unitaire]]*VenteRetails[[#This Row],[Quantite]]*(1-VenteRetails[[#This Row],[Remise]])</f>
        <v>136</v>
      </c>
      <c r="M86" s="13">
        <f>VenteRetails[[#This Row],[CA Net]]-(VenteRetails[[#This Row],[Cout_Unitaire]]*VenteRetails[[#This Row],[Quantite]])</f>
        <v>48</v>
      </c>
    </row>
    <row r="87" spans="1:13" x14ac:dyDescent="0.25">
      <c r="A87" t="s">
        <v>136</v>
      </c>
      <c r="B87" s="1">
        <v>45920</v>
      </c>
      <c r="C87" t="s">
        <v>36</v>
      </c>
      <c r="D87" t="s">
        <v>19</v>
      </c>
      <c r="E87" t="s">
        <v>20</v>
      </c>
      <c r="F87" t="s">
        <v>34</v>
      </c>
      <c r="G87" s="2">
        <v>45</v>
      </c>
      <c r="H87">
        <v>2</v>
      </c>
      <c r="I87" s="3">
        <v>0</v>
      </c>
      <c r="J87" s="2">
        <v>20</v>
      </c>
      <c r="K87" s="13">
        <f>VenteRetails[[#This Row],[Prix_Unitaire]]*VenteRetails[[#This Row],[Quantite]]</f>
        <v>90</v>
      </c>
      <c r="L87" s="13">
        <f>VenteRetails[[#This Row],[Prix_Unitaire]]*VenteRetails[[#This Row],[Quantite]]*(1-VenteRetails[[#This Row],[Remise]])</f>
        <v>90</v>
      </c>
      <c r="M87" s="13">
        <f>VenteRetails[[#This Row],[CA Net]]-(VenteRetails[[#This Row],[Cout_Unitaire]]*VenteRetails[[#This Row],[Quantite]])</f>
        <v>50</v>
      </c>
    </row>
    <row r="88" spans="1:13" x14ac:dyDescent="0.25">
      <c r="A88" t="s">
        <v>137</v>
      </c>
      <c r="B88" s="1">
        <v>45923</v>
      </c>
      <c r="C88" t="s">
        <v>38</v>
      </c>
      <c r="D88" t="s">
        <v>23</v>
      </c>
      <c r="E88" t="s">
        <v>24</v>
      </c>
      <c r="F88" t="s">
        <v>45</v>
      </c>
      <c r="G88" s="2">
        <v>35</v>
      </c>
      <c r="H88">
        <v>3</v>
      </c>
      <c r="I88" s="3">
        <v>0.05</v>
      </c>
      <c r="J88" s="2">
        <v>18</v>
      </c>
      <c r="K88" s="13">
        <f>VenteRetails[[#This Row],[Prix_Unitaire]]*VenteRetails[[#This Row],[Quantite]]</f>
        <v>105</v>
      </c>
      <c r="L88" s="13">
        <f>VenteRetails[[#This Row],[Prix_Unitaire]]*VenteRetails[[#This Row],[Quantite]]*(1-VenteRetails[[#This Row],[Remise]])</f>
        <v>99.75</v>
      </c>
      <c r="M88" s="13">
        <f>VenteRetails[[#This Row],[CA Net]]-(VenteRetails[[#This Row],[Cout_Unitaire]]*VenteRetails[[#This Row],[Quantite]])</f>
        <v>45.75</v>
      </c>
    </row>
    <row r="89" spans="1:13" x14ac:dyDescent="0.25">
      <c r="A89" t="s">
        <v>138</v>
      </c>
      <c r="B89" s="1">
        <v>45926</v>
      </c>
      <c r="C89" t="s">
        <v>40</v>
      </c>
      <c r="D89" t="s">
        <v>30</v>
      </c>
      <c r="E89" t="s">
        <v>169</v>
      </c>
      <c r="F89" t="s">
        <v>48</v>
      </c>
      <c r="G89" s="2">
        <v>90</v>
      </c>
      <c r="H89">
        <v>1</v>
      </c>
      <c r="I89" s="3">
        <v>0</v>
      </c>
      <c r="J89" s="2">
        <v>50</v>
      </c>
      <c r="K89" s="13">
        <f>VenteRetails[[#This Row],[Prix_Unitaire]]*VenteRetails[[#This Row],[Quantite]]</f>
        <v>90</v>
      </c>
      <c r="L89" s="13">
        <f>VenteRetails[[#This Row],[Prix_Unitaire]]*VenteRetails[[#This Row],[Quantite]]*(1-VenteRetails[[#This Row],[Remise]])</f>
        <v>90</v>
      </c>
      <c r="M89" s="13">
        <f>VenteRetails[[#This Row],[CA Net]]-(VenteRetails[[#This Row],[Cout_Unitaire]]*VenteRetails[[#This Row],[Quantite]])</f>
        <v>40</v>
      </c>
    </row>
    <row r="90" spans="1:13" x14ac:dyDescent="0.25">
      <c r="A90" t="s">
        <v>139</v>
      </c>
      <c r="B90" s="1">
        <v>45928</v>
      </c>
      <c r="C90" t="s">
        <v>42</v>
      </c>
      <c r="D90" t="s">
        <v>167</v>
      </c>
      <c r="E90" t="s">
        <v>15</v>
      </c>
      <c r="F90" t="s">
        <v>31</v>
      </c>
      <c r="G90" s="2">
        <v>450</v>
      </c>
      <c r="H90">
        <v>1</v>
      </c>
      <c r="I90" s="3">
        <v>0</v>
      </c>
      <c r="J90" s="2">
        <v>280</v>
      </c>
      <c r="K90" s="13">
        <f>VenteRetails[[#This Row],[Prix_Unitaire]]*VenteRetails[[#This Row],[Quantite]]</f>
        <v>450</v>
      </c>
      <c r="L90" s="13">
        <f>VenteRetails[[#This Row],[Prix_Unitaire]]*VenteRetails[[#This Row],[Quantite]]*(1-VenteRetails[[#This Row],[Remise]])</f>
        <v>450</v>
      </c>
      <c r="M90" s="13">
        <f>VenteRetails[[#This Row],[CA Net]]-(VenteRetails[[#This Row],[Cout_Unitaire]]*VenteRetails[[#This Row],[Quantite]])</f>
        <v>170</v>
      </c>
    </row>
    <row r="91" spans="1:13" x14ac:dyDescent="0.25">
      <c r="A91" t="s">
        <v>140</v>
      </c>
      <c r="B91" s="1">
        <v>45930</v>
      </c>
      <c r="C91" t="s">
        <v>44</v>
      </c>
      <c r="D91" t="s">
        <v>168</v>
      </c>
      <c r="E91" t="s">
        <v>20</v>
      </c>
      <c r="F91" t="s">
        <v>170</v>
      </c>
      <c r="G91" s="2">
        <v>85</v>
      </c>
      <c r="H91">
        <v>2</v>
      </c>
      <c r="I91" s="3">
        <v>0.1</v>
      </c>
      <c r="J91" s="2">
        <v>45</v>
      </c>
      <c r="K91" s="13">
        <f>VenteRetails[[#This Row],[Prix_Unitaire]]*VenteRetails[[#This Row],[Quantite]]</f>
        <v>170</v>
      </c>
      <c r="L91" s="13">
        <f>VenteRetails[[#This Row],[Prix_Unitaire]]*VenteRetails[[#This Row],[Quantite]]*(1-VenteRetails[[#This Row],[Remise]])</f>
        <v>153</v>
      </c>
      <c r="M91" s="13">
        <f>VenteRetails[[#This Row],[CA Net]]-(VenteRetails[[#This Row],[Cout_Unitaire]]*VenteRetails[[#This Row],[Quantite]])</f>
        <v>63</v>
      </c>
    </row>
    <row r="92" spans="1:13" x14ac:dyDescent="0.25">
      <c r="A92" t="s">
        <v>141</v>
      </c>
      <c r="B92" s="1">
        <v>45934</v>
      </c>
      <c r="C92" t="s">
        <v>47</v>
      </c>
      <c r="D92" t="s">
        <v>19</v>
      </c>
      <c r="E92" t="s">
        <v>24</v>
      </c>
      <c r="F92" t="s">
        <v>172</v>
      </c>
      <c r="G92" s="2">
        <v>15</v>
      </c>
      <c r="H92">
        <v>8</v>
      </c>
      <c r="I92" s="3">
        <v>0</v>
      </c>
      <c r="J92" s="2">
        <v>5</v>
      </c>
      <c r="K92" s="13">
        <f>VenteRetails[[#This Row],[Prix_Unitaire]]*VenteRetails[[#This Row],[Quantite]]</f>
        <v>120</v>
      </c>
      <c r="L92" s="13">
        <f>VenteRetails[[#This Row],[Prix_Unitaire]]*VenteRetails[[#This Row],[Quantite]]*(1-VenteRetails[[#This Row],[Remise]])</f>
        <v>120</v>
      </c>
      <c r="M92" s="13">
        <f>VenteRetails[[#This Row],[CA Net]]-(VenteRetails[[#This Row],[Cout_Unitaire]]*VenteRetails[[#This Row],[Quantite]])</f>
        <v>80</v>
      </c>
    </row>
    <row r="93" spans="1:13" x14ac:dyDescent="0.25">
      <c r="A93" t="s">
        <v>142</v>
      </c>
      <c r="B93" s="1">
        <v>45938</v>
      </c>
      <c r="C93" t="s">
        <v>50</v>
      </c>
      <c r="D93" t="s">
        <v>23</v>
      </c>
      <c r="E93" t="s">
        <v>169</v>
      </c>
      <c r="F93" t="s">
        <v>12</v>
      </c>
      <c r="G93" s="2">
        <v>120</v>
      </c>
      <c r="H93">
        <v>2</v>
      </c>
      <c r="I93" s="3">
        <v>0.05</v>
      </c>
      <c r="J93" s="2">
        <v>70</v>
      </c>
      <c r="K93" s="13">
        <f>VenteRetails[[#This Row],[Prix_Unitaire]]*VenteRetails[[#This Row],[Quantite]]</f>
        <v>240</v>
      </c>
      <c r="L93" s="13">
        <f>VenteRetails[[#This Row],[Prix_Unitaire]]*VenteRetails[[#This Row],[Quantite]]*(1-VenteRetails[[#This Row],[Remise]])</f>
        <v>228</v>
      </c>
      <c r="M93" s="13">
        <f>VenteRetails[[#This Row],[CA Net]]-(VenteRetails[[#This Row],[Cout_Unitaire]]*VenteRetails[[#This Row],[Quantite]])</f>
        <v>88</v>
      </c>
    </row>
    <row r="94" spans="1:13" x14ac:dyDescent="0.25">
      <c r="A94" t="s">
        <v>143</v>
      </c>
      <c r="B94" s="1">
        <v>45942</v>
      </c>
      <c r="C94" t="s">
        <v>53</v>
      </c>
      <c r="D94" t="s">
        <v>30</v>
      </c>
      <c r="E94" t="s">
        <v>15</v>
      </c>
      <c r="F94" t="s">
        <v>16</v>
      </c>
      <c r="G94" s="2">
        <v>250</v>
      </c>
      <c r="H94">
        <v>2</v>
      </c>
      <c r="I94" s="3">
        <v>0</v>
      </c>
      <c r="J94" s="2">
        <v>150</v>
      </c>
      <c r="K94" s="13">
        <f>VenteRetails[[#This Row],[Prix_Unitaire]]*VenteRetails[[#This Row],[Quantite]]</f>
        <v>500</v>
      </c>
      <c r="L94" s="13">
        <f>VenteRetails[[#This Row],[Prix_Unitaire]]*VenteRetails[[#This Row],[Quantite]]*(1-VenteRetails[[#This Row],[Remise]])</f>
        <v>500</v>
      </c>
      <c r="M94" s="13">
        <f>VenteRetails[[#This Row],[CA Net]]-(VenteRetails[[#This Row],[Cout_Unitaire]]*VenteRetails[[#This Row],[Quantite]])</f>
        <v>200</v>
      </c>
    </row>
    <row r="95" spans="1:13" x14ac:dyDescent="0.25">
      <c r="A95" t="s">
        <v>144</v>
      </c>
      <c r="B95" s="1">
        <v>45945</v>
      </c>
      <c r="C95" t="s">
        <v>55</v>
      </c>
      <c r="D95" t="s">
        <v>167</v>
      </c>
      <c r="E95" t="s">
        <v>20</v>
      </c>
      <c r="F95" t="s">
        <v>171</v>
      </c>
      <c r="G95" s="2">
        <v>320</v>
      </c>
      <c r="H95">
        <v>1</v>
      </c>
      <c r="I95" s="3">
        <v>0</v>
      </c>
      <c r="J95" s="2">
        <v>210</v>
      </c>
      <c r="K95" s="13">
        <f>VenteRetails[[#This Row],[Prix_Unitaire]]*VenteRetails[[#This Row],[Quantite]]</f>
        <v>320</v>
      </c>
      <c r="L95" s="13">
        <f>VenteRetails[[#This Row],[Prix_Unitaire]]*VenteRetails[[#This Row],[Quantite]]*(1-VenteRetails[[#This Row],[Remise]])</f>
        <v>320</v>
      </c>
      <c r="M95" s="13">
        <f>VenteRetails[[#This Row],[CA Net]]-(VenteRetails[[#This Row],[Cout_Unitaire]]*VenteRetails[[#This Row],[Quantite]])</f>
        <v>110</v>
      </c>
    </row>
    <row r="96" spans="1:13" x14ac:dyDescent="0.25">
      <c r="A96" t="s">
        <v>145</v>
      </c>
      <c r="B96" s="1">
        <v>45949</v>
      </c>
      <c r="C96" t="s">
        <v>58</v>
      </c>
      <c r="D96" t="s">
        <v>168</v>
      </c>
      <c r="E96" t="s">
        <v>24</v>
      </c>
      <c r="F96" t="s">
        <v>25</v>
      </c>
      <c r="G96" s="2">
        <v>25</v>
      </c>
      <c r="H96">
        <v>3</v>
      </c>
      <c r="I96" s="3">
        <v>0.05</v>
      </c>
      <c r="J96" s="2">
        <v>10</v>
      </c>
      <c r="K96" s="13">
        <f>VenteRetails[[#This Row],[Prix_Unitaire]]*VenteRetails[[#This Row],[Quantite]]</f>
        <v>75</v>
      </c>
      <c r="L96" s="13">
        <f>VenteRetails[[#This Row],[Prix_Unitaire]]*VenteRetails[[#This Row],[Quantite]]*(1-VenteRetails[[#This Row],[Remise]])</f>
        <v>71.25</v>
      </c>
      <c r="M96" s="13">
        <f>VenteRetails[[#This Row],[CA Net]]-(VenteRetails[[#This Row],[Cout_Unitaire]]*VenteRetails[[#This Row],[Quantite]])</f>
        <v>41.25</v>
      </c>
    </row>
    <row r="97" spans="1:13" x14ac:dyDescent="0.25">
      <c r="A97" t="s">
        <v>146</v>
      </c>
      <c r="B97" s="1">
        <v>45952</v>
      </c>
      <c r="C97" t="s">
        <v>60</v>
      </c>
      <c r="D97" t="s">
        <v>19</v>
      </c>
      <c r="E97" t="s">
        <v>169</v>
      </c>
      <c r="F97" t="s">
        <v>56</v>
      </c>
      <c r="G97" s="2">
        <v>75</v>
      </c>
      <c r="H97">
        <v>4</v>
      </c>
      <c r="I97" s="3">
        <v>0.1</v>
      </c>
      <c r="J97" s="2">
        <v>40</v>
      </c>
      <c r="K97" s="13">
        <f>VenteRetails[[#This Row],[Prix_Unitaire]]*VenteRetails[[#This Row],[Quantite]]</f>
        <v>300</v>
      </c>
      <c r="L97" s="13">
        <f>VenteRetails[[#This Row],[Prix_Unitaire]]*VenteRetails[[#This Row],[Quantite]]*(1-VenteRetails[[#This Row],[Remise]])</f>
        <v>270</v>
      </c>
      <c r="M97" s="13">
        <f>VenteRetails[[#This Row],[CA Net]]-(VenteRetails[[#This Row],[Cout_Unitaire]]*VenteRetails[[#This Row],[Quantite]])</f>
        <v>110</v>
      </c>
    </row>
    <row r="98" spans="1:13" x14ac:dyDescent="0.25">
      <c r="A98" t="s">
        <v>147</v>
      </c>
      <c r="B98" s="1">
        <v>45955</v>
      </c>
      <c r="C98" t="s">
        <v>62</v>
      </c>
      <c r="D98" t="s">
        <v>23</v>
      </c>
      <c r="E98" t="s">
        <v>15</v>
      </c>
      <c r="F98" t="s">
        <v>51</v>
      </c>
      <c r="G98" s="2">
        <v>40</v>
      </c>
      <c r="H98">
        <v>2</v>
      </c>
      <c r="I98" s="3">
        <v>0</v>
      </c>
      <c r="J98" s="2">
        <v>22</v>
      </c>
      <c r="K98" s="13">
        <f>VenteRetails[[#This Row],[Prix_Unitaire]]*VenteRetails[[#This Row],[Quantite]]</f>
        <v>80</v>
      </c>
      <c r="L98" s="13">
        <f>VenteRetails[[#This Row],[Prix_Unitaire]]*VenteRetails[[#This Row],[Quantite]]*(1-VenteRetails[[#This Row],[Remise]])</f>
        <v>80</v>
      </c>
      <c r="M98" s="13">
        <f>VenteRetails[[#This Row],[CA Net]]-(VenteRetails[[#This Row],[Cout_Unitaire]]*VenteRetails[[#This Row],[Quantite]])</f>
        <v>36</v>
      </c>
    </row>
    <row r="99" spans="1:13" x14ac:dyDescent="0.25">
      <c r="A99" t="s">
        <v>148</v>
      </c>
      <c r="B99" s="1">
        <v>45958</v>
      </c>
      <c r="C99" t="s">
        <v>64</v>
      </c>
      <c r="D99" t="s">
        <v>30</v>
      </c>
      <c r="E99" t="s">
        <v>20</v>
      </c>
      <c r="F99" t="s">
        <v>34</v>
      </c>
      <c r="G99" s="2">
        <v>45</v>
      </c>
      <c r="H99">
        <v>1</v>
      </c>
      <c r="I99" s="3">
        <v>0</v>
      </c>
      <c r="J99" s="2">
        <v>20</v>
      </c>
      <c r="K99" s="13">
        <f>VenteRetails[[#This Row],[Prix_Unitaire]]*VenteRetails[[#This Row],[Quantite]]</f>
        <v>45</v>
      </c>
      <c r="L99" s="13">
        <f>VenteRetails[[#This Row],[Prix_Unitaire]]*VenteRetails[[#This Row],[Quantite]]*(1-VenteRetails[[#This Row],[Remise]])</f>
        <v>45</v>
      </c>
      <c r="M99" s="13">
        <f>VenteRetails[[#This Row],[CA Net]]-(VenteRetails[[#This Row],[Cout_Unitaire]]*VenteRetails[[#This Row],[Quantite]])</f>
        <v>25</v>
      </c>
    </row>
    <row r="100" spans="1:13" x14ac:dyDescent="0.25">
      <c r="A100" t="s">
        <v>149</v>
      </c>
      <c r="B100" s="1">
        <v>45960</v>
      </c>
      <c r="C100" t="s">
        <v>66</v>
      </c>
      <c r="D100" t="s">
        <v>167</v>
      </c>
      <c r="E100" t="s">
        <v>24</v>
      </c>
      <c r="F100" t="s">
        <v>45</v>
      </c>
      <c r="G100" s="2">
        <v>35</v>
      </c>
      <c r="H100">
        <v>2</v>
      </c>
      <c r="I100" s="3">
        <v>0</v>
      </c>
      <c r="J100" s="2">
        <v>18</v>
      </c>
      <c r="K100" s="13">
        <f>VenteRetails[[#This Row],[Prix_Unitaire]]*VenteRetails[[#This Row],[Quantite]]</f>
        <v>70</v>
      </c>
      <c r="L100" s="13">
        <f>VenteRetails[[#This Row],[Prix_Unitaire]]*VenteRetails[[#This Row],[Quantite]]*(1-VenteRetails[[#This Row],[Remise]])</f>
        <v>70</v>
      </c>
      <c r="M100" s="13">
        <f>VenteRetails[[#This Row],[CA Net]]-(VenteRetails[[#This Row],[Cout_Unitaire]]*VenteRetails[[#This Row],[Quantite]])</f>
        <v>34</v>
      </c>
    </row>
    <row r="101" spans="1:13" x14ac:dyDescent="0.25">
      <c r="A101" t="s">
        <v>150</v>
      </c>
      <c r="B101" s="1">
        <v>45961</v>
      </c>
      <c r="C101" t="s">
        <v>68</v>
      </c>
      <c r="D101" t="s">
        <v>168</v>
      </c>
      <c r="E101" t="s">
        <v>169</v>
      </c>
      <c r="F101" t="s">
        <v>48</v>
      </c>
      <c r="G101" s="2">
        <v>90</v>
      </c>
      <c r="H101">
        <v>3</v>
      </c>
      <c r="I101" s="3">
        <v>0.15</v>
      </c>
      <c r="J101" s="2">
        <v>50</v>
      </c>
      <c r="K101" s="13">
        <f>VenteRetails[[#This Row],[Prix_Unitaire]]*VenteRetails[[#This Row],[Quantite]]</f>
        <v>270</v>
      </c>
      <c r="L101" s="13">
        <f>VenteRetails[[#This Row],[Prix_Unitaire]]*VenteRetails[[#This Row],[Quantite]]*(1-VenteRetails[[#This Row],[Remise]])</f>
        <v>229.5</v>
      </c>
      <c r="M101" s="13">
        <f>VenteRetails[[#This Row],[CA Net]]-(VenteRetails[[#This Row],[Cout_Unitaire]]*VenteRetails[[#This Row],[Quantite]])</f>
        <v>79.5</v>
      </c>
    </row>
    <row r="102" spans="1:13" s="2" customFormat="1" x14ac:dyDescent="0.25">
      <c r="A102"/>
      <c r="B102" s="1"/>
      <c r="C102"/>
      <c r="D102"/>
      <c r="E102"/>
      <c r="F102"/>
      <c r="H102"/>
      <c r="I102" s="3"/>
    </row>
    <row r="103" spans="1:13" x14ac:dyDescent="0.25">
      <c r="K103" s="2"/>
      <c r="L103" s="2"/>
      <c r="M103" s="2"/>
    </row>
    <row r="104" spans="1:13" x14ac:dyDescent="0.25">
      <c r="K104" s="2"/>
      <c r="L104" s="2"/>
      <c r="M104" s="2"/>
    </row>
    <row r="105" spans="1:13" x14ac:dyDescent="0.25">
      <c r="K105" s="2"/>
      <c r="L105" s="2"/>
      <c r="M105" s="2"/>
    </row>
    <row r="106" spans="1:13" x14ac:dyDescent="0.25">
      <c r="K106" s="2"/>
      <c r="L106" s="2"/>
      <c r="M106" s="2"/>
    </row>
    <row r="107" spans="1:13" x14ac:dyDescent="0.25">
      <c r="K107" s="2"/>
      <c r="L107" s="2"/>
      <c r="M107" s="2"/>
    </row>
    <row r="108" spans="1:13" x14ac:dyDescent="0.25">
      <c r="K108" s="2"/>
      <c r="L108" s="2"/>
      <c r="M108" s="2"/>
    </row>
    <row r="109" spans="1:13" x14ac:dyDescent="0.25">
      <c r="K109" s="2"/>
      <c r="L109" s="2"/>
      <c r="M109" s="2"/>
    </row>
    <row r="110" spans="1:13" x14ac:dyDescent="0.25">
      <c r="K110" s="2"/>
      <c r="L110" s="2"/>
      <c r="M110" s="2"/>
    </row>
    <row r="111" spans="1:13" x14ac:dyDescent="0.25">
      <c r="K111" s="2"/>
      <c r="L111" s="2"/>
      <c r="M111" s="2"/>
    </row>
    <row r="112" spans="1:13" x14ac:dyDescent="0.25">
      <c r="K112" s="2"/>
      <c r="L112" s="2"/>
      <c r="M112" s="2"/>
    </row>
    <row r="113" spans="11:13" x14ac:dyDescent="0.25">
      <c r="K113" s="2"/>
      <c r="L113" s="2"/>
      <c r="M113" s="2"/>
    </row>
    <row r="114" spans="11:13" x14ac:dyDescent="0.25">
      <c r="K114" s="2"/>
      <c r="L114" s="2"/>
      <c r="M114" s="2"/>
    </row>
    <row r="115" spans="11:13" x14ac:dyDescent="0.25">
      <c r="K115" s="2"/>
      <c r="L115" s="2"/>
      <c r="M115" s="2"/>
    </row>
    <row r="116" spans="11:13" x14ac:dyDescent="0.25">
      <c r="K116" s="2"/>
      <c r="L116" s="2"/>
      <c r="M116" s="2"/>
    </row>
    <row r="117" spans="11:13" x14ac:dyDescent="0.25">
      <c r="K117" s="2"/>
      <c r="L117" s="2"/>
      <c r="M117" s="2"/>
    </row>
    <row r="118" spans="11:13" x14ac:dyDescent="0.25">
      <c r="K118" s="2"/>
      <c r="L118" s="2"/>
      <c r="M118" s="2"/>
    </row>
    <row r="119" spans="11:13" x14ac:dyDescent="0.25">
      <c r="K119" s="2"/>
      <c r="L119" s="2"/>
      <c r="M119" s="2"/>
    </row>
    <row r="120" spans="11:13" x14ac:dyDescent="0.25">
      <c r="K120" s="2"/>
      <c r="L120" s="2"/>
      <c r="M120" s="2"/>
    </row>
    <row r="121" spans="11:13" x14ac:dyDescent="0.25">
      <c r="K121" s="2"/>
      <c r="L121" s="2"/>
      <c r="M121" s="2"/>
    </row>
    <row r="122" spans="11:13" x14ac:dyDescent="0.25">
      <c r="K122" s="2"/>
      <c r="L122" s="2"/>
      <c r="M122" s="2"/>
    </row>
    <row r="123" spans="11:13" x14ac:dyDescent="0.25">
      <c r="K123" s="2"/>
      <c r="L123" s="2"/>
      <c r="M123" s="2"/>
    </row>
    <row r="124" spans="11:13" x14ac:dyDescent="0.25">
      <c r="K124" s="2"/>
      <c r="L124" s="2"/>
      <c r="M124" s="2"/>
    </row>
    <row r="125" spans="11:13" x14ac:dyDescent="0.25">
      <c r="K125" s="2"/>
      <c r="L125" s="2"/>
      <c r="M125" s="2"/>
    </row>
    <row r="126" spans="11:13" x14ac:dyDescent="0.25">
      <c r="K126" s="2"/>
      <c r="L126" s="2"/>
      <c r="M126" s="2"/>
    </row>
    <row r="127" spans="11:13" x14ac:dyDescent="0.25">
      <c r="K127" s="2"/>
      <c r="L127" s="2"/>
      <c r="M127" s="2"/>
    </row>
    <row r="128" spans="11:13" x14ac:dyDescent="0.25">
      <c r="K128" s="2"/>
      <c r="L128" s="2"/>
      <c r="M128" s="2"/>
    </row>
    <row r="129" spans="11:13" x14ac:dyDescent="0.25">
      <c r="K129" s="2"/>
      <c r="L129" s="2"/>
      <c r="M129" s="2"/>
    </row>
    <row r="130" spans="11:13" x14ac:dyDescent="0.25">
      <c r="K130" s="2"/>
      <c r="L130" s="2"/>
      <c r="M130" s="2"/>
    </row>
    <row r="131" spans="11:13" x14ac:dyDescent="0.25">
      <c r="K131" s="2"/>
      <c r="L131" s="2"/>
      <c r="M131" s="2"/>
    </row>
    <row r="132" spans="11:13" x14ac:dyDescent="0.25">
      <c r="K132" s="2"/>
      <c r="L132" s="2"/>
      <c r="M132" s="2"/>
    </row>
    <row r="133" spans="11:13" x14ac:dyDescent="0.25">
      <c r="K133" s="2"/>
      <c r="L133" s="2"/>
      <c r="M133" s="2"/>
    </row>
    <row r="134" spans="11:13" x14ac:dyDescent="0.25">
      <c r="K134" s="2"/>
      <c r="L134" s="2"/>
      <c r="M134" s="2"/>
    </row>
    <row r="135" spans="11:13" x14ac:dyDescent="0.25">
      <c r="K135" s="2"/>
      <c r="L135" s="2"/>
      <c r="M135" s="2"/>
    </row>
    <row r="136" spans="11:13" x14ac:dyDescent="0.25">
      <c r="K136" s="2"/>
      <c r="L136" s="2"/>
      <c r="M136" s="2"/>
    </row>
    <row r="137" spans="11:13" x14ac:dyDescent="0.25">
      <c r="K137" s="2"/>
      <c r="L137" s="2"/>
      <c r="M137" s="2"/>
    </row>
    <row r="138" spans="11:13" x14ac:dyDescent="0.25">
      <c r="K138" s="2"/>
      <c r="L138" s="2"/>
      <c r="M138" s="2"/>
    </row>
    <row r="139" spans="11:13" x14ac:dyDescent="0.25">
      <c r="K139" s="2"/>
      <c r="L139" s="2"/>
      <c r="M139" s="2"/>
    </row>
    <row r="140" spans="11:13" x14ac:dyDescent="0.25">
      <c r="K140" s="2"/>
      <c r="L140" s="2"/>
      <c r="M140" s="2"/>
    </row>
    <row r="141" spans="11:13" x14ac:dyDescent="0.25">
      <c r="K141" s="2"/>
      <c r="L141" s="2"/>
      <c r="M141" s="2"/>
    </row>
    <row r="142" spans="11:13" x14ac:dyDescent="0.25">
      <c r="K142" s="2"/>
      <c r="L142" s="2"/>
      <c r="M142" s="2"/>
    </row>
    <row r="143" spans="11:13" x14ac:dyDescent="0.25">
      <c r="K143" s="2"/>
      <c r="L143" s="2"/>
      <c r="M143" s="2"/>
    </row>
    <row r="144" spans="11:13" x14ac:dyDescent="0.25">
      <c r="K144" s="2"/>
      <c r="L144" s="2"/>
      <c r="M144" s="2"/>
    </row>
    <row r="145" spans="11:13" x14ac:dyDescent="0.25">
      <c r="K145" s="2"/>
      <c r="L145" s="2"/>
      <c r="M145" s="2"/>
    </row>
    <row r="146" spans="11:13" x14ac:dyDescent="0.25">
      <c r="K146" s="2"/>
      <c r="L146" s="2"/>
      <c r="M146" s="2"/>
    </row>
    <row r="147" spans="11:13" x14ac:dyDescent="0.25">
      <c r="K147" s="2"/>
      <c r="L147" s="2"/>
      <c r="M147" s="2"/>
    </row>
    <row r="148" spans="11:13" x14ac:dyDescent="0.25">
      <c r="K148" s="2"/>
      <c r="L148" s="2"/>
      <c r="M148" s="2"/>
    </row>
    <row r="149" spans="11:13" x14ac:dyDescent="0.25">
      <c r="K149" s="2"/>
      <c r="L149" s="2"/>
      <c r="M149" s="2"/>
    </row>
    <row r="150" spans="11:13" x14ac:dyDescent="0.25">
      <c r="K150" s="2"/>
      <c r="L150" s="2"/>
      <c r="M150" s="2"/>
    </row>
    <row r="151" spans="11:13" x14ac:dyDescent="0.25">
      <c r="K151" s="2"/>
      <c r="L151" s="2"/>
      <c r="M151" s="2"/>
    </row>
    <row r="152" spans="11:13" x14ac:dyDescent="0.25">
      <c r="K152" s="2"/>
      <c r="L152" s="2"/>
      <c r="M152" s="2"/>
    </row>
    <row r="153" spans="11:13" x14ac:dyDescent="0.25">
      <c r="K153" s="2"/>
      <c r="L153" s="2"/>
      <c r="M153" s="2"/>
    </row>
    <row r="154" spans="11:13" x14ac:dyDescent="0.25">
      <c r="K154" s="2"/>
      <c r="L154" s="2"/>
      <c r="M154" s="2"/>
    </row>
    <row r="155" spans="11:13" x14ac:dyDescent="0.25">
      <c r="K155" s="2"/>
      <c r="L155" s="2"/>
      <c r="M155" s="2"/>
    </row>
    <row r="156" spans="11:13" x14ac:dyDescent="0.25">
      <c r="K156" s="2"/>
      <c r="L156" s="2"/>
      <c r="M156" s="2"/>
    </row>
    <row r="157" spans="11:13" x14ac:dyDescent="0.25">
      <c r="K157" s="2"/>
      <c r="L157" s="2"/>
      <c r="M157" s="2"/>
    </row>
    <row r="158" spans="11:13" x14ac:dyDescent="0.25">
      <c r="K158" s="2"/>
      <c r="L158" s="2"/>
      <c r="M158" s="2"/>
    </row>
  </sheetData>
  <phoneticPr fontId="3" type="noConversion"/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5C32-8458-4B13-A72E-2A82D4C760A6}">
  <dimension ref="A1:M38"/>
  <sheetViews>
    <sheetView showGridLines="0" tabSelected="1" zoomScale="80" zoomScaleNormal="80" workbookViewId="0">
      <selection activeCell="J12" sqref="J12"/>
    </sheetView>
  </sheetViews>
  <sheetFormatPr baseColWidth="10" defaultRowHeight="15" x14ac:dyDescent="0.25"/>
  <cols>
    <col min="1" max="1" width="19" bestFit="1" customWidth="1"/>
    <col min="2" max="2" width="22.5703125" bestFit="1" customWidth="1"/>
    <col min="3" max="3" width="31.28515625" bestFit="1" customWidth="1"/>
    <col min="4" max="4" width="14.42578125" bestFit="1" customWidth="1"/>
    <col min="5" max="7" width="14.85546875" bestFit="1" customWidth="1"/>
    <col min="8" max="9" width="14.42578125" bestFit="1" customWidth="1"/>
    <col min="10" max="10" width="14.85546875" bestFit="1" customWidth="1"/>
    <col min="11" max="11" width="14.42578125" bestFit="1" customWidth="1"/>
    <col min="12" max="12" width="17.7109375" bestFit="1" customWidth="1"/>
    <col min="13" max="21" width="10.140625" bestFit="1" customWidth="1"/>
    <col min="22" max="22" width="12.5703125" bestFit="1" customWidth="1"/>
    <col min="23" max="106" width="10.7109375" bestFit="1" customWidth="1"/>
    <col min="107" max="107" width="12.5703125" bestFit="1" customWidth="1"/>
  </cols>
  <sheetData>
    <row r="1" spans="1:13" ht="48" customHeight="1" x14ac:dyDescent="0.25">
      <c r="A1" s="16" t="s">
        <v>176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3" spans="1:13" x14ac:dyDescent="0.25">
      <c r="A3" s="7" t="s">
        <v>173</v>
      </c>
      <c r="B3" s="8" t="s">
        <v>155</v>
      </c>
      <c r="C3" s="8" t="s">
        <v>156</v>
      </c>
    </row>
    <row r="4" spans="1:13" x14ac:dyDescent="0.25">
      <c r="A4" s="8" t="s">
        <v>23</v>
      </c>
      <c r="B4" s="9">
        <v>4186.25</v>
      </c>
      <c r="C4" s="9">
        <v>1615.25</v>
      </c>
    </row>
    <row r="5" spans="1:13" x14ac:dyDescent="0.25">
      <c r="A5" s="8" t="s">
        <v>19</v>
      </c>
      <c r="B5" s="9">
        <v>3424.75</v>
      </c>
      <c r="C5" s="9">
        <v>1420.75</v>
      </c>
    </row>
    <row r="6" spans="1:13" x14ac:dyDescent="0.25">
      <c r="A6" s="8" t="s">
        <v>30</v>
      </c>
      <c r="B6" s="9">
        <v>3904</v>
      </c>
      <c r="C6" s="9">
        <v>1530</v>
      </c>
    </row>
    <row r="7" spans="1:13" x14ac:dyDescent="0.25">
      <c r="A7" s="8" t="s">
        <v>167</v>
      </c>
      <c r="B7" s="9">
        <v>5208</v>
      </c>
      <c r="C7" s="9">
        <v>2046</v>
      </c>
    </row>
    <row r="8" spans="1:13" x14ac:dyDescent="0.25">
      <c r="A8" s="8" t="s">
        <v>168</v>
      </c>
      <c r="B8" s="9">
        <v>5345.5</v>
      </c>
      <c r="C8" s="9">
        <v>2042.5</v>
      </c>
    </row>
    <row r="9" spans="1:13" x14ac:dyDescent="0.25">
      <c r="A9" s="8" t="s">
        <v>154</v>
      </c>
      <c r="B9" s="9">
        <v>22068.5</v>
      </c>
      <c r="C9" s="9">
        <v>8654.5</v>
      </c>
    </row>
    <row r="14" spans="1:13" x14ac:dyDescent="0.25">
      <c r="A14" s="4" t="s">
        <v>155</v>
      </c>
      <c r="B14" s="4" t="s">
        <v>179</v>
      </c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3" x14ac:dyDescent="0.25">
      <c r="A15" s="5"/>
      <c r="B15" s="8" t="s">
        <v>157</v>
      </c>
      <c r="C15" s="8" t="s">
        <v>158</v>
      </c>
      <c r="D15" s="8" t="s">
        <v>159</v>
      </c>
      <c r="E15" s="8" t="s">
        <v>160</v>
      </c>
      <c r="F15" s="8" t="s">
        <v>161</v>
      </c>
      <c r="G15" s="8" t="s">
        <v>162</v>
      </c>
      <c r="H15" s="8" t="s">
        <v>163</v>
      </c>
      <c r="I15" s="8" t="s">
        <v>164</v>
      </c>
      <c r="J15" s="8" t="s">
        <v>165</v>
      </c>
      <c r="K15" s="8" t="s">
        <v>166</v>
      </c>
      <c r="L15" s="8" t="s">
        <v>154</v>
      </c>
    </row>
    <row r="16" spans="1:1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8"/>
    </row>
    <row r="17" spans="1:12" x14ac:dyDescent="0.25">
      <c r="A17" s="4" t="s">
        <v>175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8"/>
    </row>
    <row r="18" spans="1:12" x14ac:dyDescent="0.25">
      <c r="A18" s="6" t="s">
        <v>15</v>
      </c>
      <c r="B18" s="9">
        <v>1127.5</v>
      </c>
      <c r="C18" s="9">
        <v>610</v>
      </c>
      <c r="D18" s="9">
        <v>1136</v>
      </c>
      <c r="E18" s="9">
        <v>277.5</v>
      </c>
      <c r="F18" s="9">
        <v>1155</v>
      </c>
      <c r="G18" s="9">
        <v>687.5</v>
      </c>
      <c r="H18" s="9">
        <v>1341</v>
      </c>
      <c r="I18" s="9">
        <v>467.5</v>
      </c>
      <c r="J18" s="9">
        <v>811</v>
      </c>
      <c r="K18" s="9">
        <v>580</v>
      </c>
      <c r="L18" s="9">
        <v>8193</v>
      </c>
    </row>
    <row r="19" spans="1:12" x14ac:dyDescent="0.25">
      <c r="A19" s="6" t="s">
        <v>20</v>
      </c>
      <c r="B19" s="9">
        <v>409.5</v>
      </c>
      <c r="C19" s="9">
        <v>969.25</v>
      </c>
      <c r="D19" s="9">
        <v>543</v>
      </c>
      <c r="E19" s="9">
        <v>725.5</v>
      </c>
      <c r="F19" s="9">
        <v>746</v>
      </c>
      <c r="G19" s="9">
        <v>737.5</v>
      </c>
      <c r="H19" s="9">
        <v>632</v>
      </c>
      <c r="I19" s="9">
        <v>424</v>
      </c>
      <c r="J19" s="9">
        <v>1107</v>
      </c>
      <c r="K19" s="9">
        <v>365</v>
      </c>
      <c r="L19" s="9">
        <v>6658.75</v>
      </c>
    </row>
    <row r="20" spans="1:12" x14ac:dyDescent="0.25">
      <c r="A20" s="6" t="s">
        <v>169</v>
      </c>
      <c r="B20" s="9">
        <v>620</v>
      </c>
      <c r="C20" s="9">
        <v>579</v>
      </c>
      <c r="D20" s="9">
        <v>396.5</v>
      </c>
      <c r="E20" s="9">
        <v>587.25</v>
      </c>
      <c r="F20" s="9">
        <v>249</v>
      </c>
      <c r="G20" s="9">
        <v>558</v>
      </c>
      <c r="H20" s="9">
        <v>414</v>
      </c>
      <c r="I20" s="9">
        <v>442.5</v>
      </c>
      <c r="J20" s="9">
        <v>165</v>
      </c>
      <c r="K20" s="9">
        <v>727.5</v>
      </c>
      <c r="L20" s="9">
        <v>4738.75</v>
      </c>
    </row>
    <row r="21" spans="1:12" x14ac:dyDescent="0.25">
      <c r="A21" s="6" t="s">
        <v>24</v>
      </c>
      <c r="B21" s="9">
        <v>245</v>
      </c>
      <c r="C21" s="9">
        <v>207.75</v>
      </c>
      <c r="D21" s="9">
        <v>205</v>
      </c>
      <c r="E21" s="9">
        <v>437.5</v>
      </c>
      <c r="F21" s="9">
        <v>125</v>
      </c>
      <c r="G21" s="9">
        <v>278.75</v>
      </c>
      <c r="H21" s="9">
        <v>230</v>
      </c>
      <c r="I21" s="9">
        <v>338</v>
      </c>
      <c r="J21" s="9">
        <v>149.75</v>
      </c>
      <c r="K21" s="9">
        <v>261.25</v>
      </c>
      <c r="L21" s="9">
        <v>2478</v>
      </c>
    </row>
    <row r="22" spans="1:12" x14ac:dyDescent="0.25">
      <c r="A22" s="6" t="s">
        <v>154</v>
      </c>
      <c r="B22" s="9">
        <v>2402</v>
      </c>
      <c r="C22" s="9">
        <v>2366</v>
      </c>
      <c r="D22" s="9">
        <v>2280.5</v>
      </c>
      <c r="E22" s="9">
        <v>2027.75</v>
      </c>
      <c r="F22" s="9">
        <v>2275</v>
      </c>
      <c r="G22" s="9">
        <v>2261.75</v>
      </c>
      <c r="H22" s="9">
        <v>2617</v>
      </c>
      <c r="I22" s="9">
        <v>1672</v>
      </c>
      <c r="J22" s="9">
        <v>2232.75</v>
      </c>
      <c r="K22" s="9">
        <v>1933.75</v>
      </c>
      <c r="L22" s="9">
        <v>22068.5</v>
      </c>
    </row>
    <row r="25" spans="1:12" x14ac:dyDescent="0.25">
      <c r="A25" s="10" t="s">
        <v>174</v>
      </c>
      <c r="B25" s="11" t="s">
        <v>156</v>
      </c>
    </row>
    <row r="26" spans="1:12" x14ac:dyDescent="0.25">
      <c r="A26" s="11" t="s">
        <v>31</v>
      </c>
      <c r="B26" s="12">
        <v>1340</v>
      </c>
    </row>
    <row r="27" spans="1:12" x14ac:dyDescent="0.25">
      <c r="A27" s="11" t="s">
        <v>171</v>
      </c>
      <c r="B27" s="12">
        <v>1284</v>
      </c>
    </row>
    <row r="28" spans="1:12" x14ac:dyDescent="0.25">
      <c r="A28" s="11" t="s">
        <v>16</v>
      </c>
      <c r="B28" s="12">
        <v>1225</v>
      </c>
    </row>
    <row r="29" spans="1:12" x14ac:dyDescent="0.25">
      <c r="A29" s="11" t="s">
        <v>170</v>
      </c>
      <c r="B29" s="12">
        <v>761</v>
      </c>
    </row>
    <row r="30" spans="1:12" x14ac:dyDescent="0.25">
      <c r="A30" s="11" t="s">
        <v>12</v>
      </c>
      <c r="B30" s="12">
        <v>742</v>
      </c>
    </row>
    <row r="31" spans="1:12" x14ac:dyDescent="0.25">
      <c r="A31" s="11" t="s">
        <v>34</v>
      </c>
      <c r="B31" s="12">
        <v>675.75</v>
      </c>
    </row>
    <row r="32" spans="1:12" x14ac:dyDescent="0.25">
      <c r="A32" s="11" t="s">
        <v>172</v>
      </c>
      <c r="B32" s="12">
        <v>641.75</v>
      </c>
    </row>
    <row r="33" spans="1:2" x14ac:dyDescent="0.25">
      <c r="A33" s="11" t="s">
        <v>48</v>
      </c>
      <c r="B33" s="12">
        <v>501</v>
      </c>
    </row>
    <row r="34" spans="1:2" x14ac:dyDescent="0.25">
      <c r="A34" s="11" t="s">
        <v>25</v>
      </c>
      <c r="B34" s="12">
        <v>431.25</v>
      </c>
    </row>
    <row r="35" spans="1:2" x14ac:dyDescent="0.25">
      <c r="A35" s="11" t="s">
        <v>56</v>
      </c>
      <c r="B35" s="12">
        <v>403.75</v>
      </c>
    </row>
    <row r="36" spans="1:2" x14ac:dyDescent="0.25">
      <c r="A36" s="11" t="s">
        <v>45</v>
      </c>
      <c r="B36" s="12">
        <v>339</v>
      </c>
    </row>
    <row r="37" spans="1:2" x14ac:dyDescent="0.25">
      <c r="A37" s="11" t="s">
        <v>51</v>
      </c>
      <c r="B37" s="12">
        <v>310</v>
      </c>
    </row>
    <row r="38" spans="1:2" x14ac:dyDescent="0.25">
      <c r="A38" s="11" t="s">
        <v>154</v>
      </c>
      <c r="B38" s="12">
        <v>8654.5</v>
      </c>
    </row>
  </sheetData>
  <mergeCells count="1">
    <mergeCell ref="A1:M1"/>
  </mergeCells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2E586-0955-43D9-BF40-7469CC39E784}">
  <dimension ref="A1:A3"/>
  <sheetViews>
    <sheetView showGridLines="0" workbookViewId="0">
      <selection activeCell="A4" sqref="A4"/>
    </sheetView>
  </sheetViews>
  <sheetFormatPr baseColWidth="10" defaultRowHeight="15" x14ac:dyDescent="0.25"/>
  <cols>
    <col min="1" max="1" width="56.140625" customWidth="1"/>
  </cols>
  <sheetData>
    <row r="1" spans="1:1" ht="18" x14ac:dyDescent="0.25">
      <c r="A1" s="14" t="s">
        <v>177</v>
      </c>
    </row>
    <row r="3" spans="1:1" ht="93.75" customHeight="1" x14ac:dyDescent="0.25">
      <c r="A3" s="15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DASHBOARD</vt:lpstr>
      <vt:lpstr>Scénario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</dc:creator>
  <cp:lastModifiedBy>MILAN</cp:lastModifiedBy>
  <dcterms:created xsi:type="dcterms:W3CDTF">2026-09-26T18:06:56Z</dcterms:created>
  <dcterms:modified xsi:type="dcterms:W3CDTF">2026-10-15T02:43:02Z</dcterms:modified>
</cp:coreProperties>
</file>